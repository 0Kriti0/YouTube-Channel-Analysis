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75d56d6bcc89dc/Desktop/python/"/>
    </mc:Choice>
  </mc:AlternateContent>
  <xr:revisionPtr revIDLastSave="0" documentId="8_{D55A96DF-B8C1-4E3F-9F8A-4D0447E24DC0}" xr6:coauthVersionLast="47" xr6:coauthVersionMax="47" xr10:uidLastSave="{00000000-0000-0000-0000-000000000000}"/>
  <bookViews>
    <workbookView xWindow="-108" yWindow="-108" windowWidth="23256" windowHeight="12456" activeTab="6" xr2:uid="{178955E1-3D59-4D9C-87A8-B1EE953C9A1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" i="7" l="1"/>
  <c r="L14" i="7"/>
  <c r="L15" i="7"/>
  <c r="L23" i="7"/>
  <c r="L22" i="7"/>
  <c r="L20" i="7"/>
  <c r="L19" i="7"/>
  <c r="L18" i="7"/>
  <c r="L17" i="7"/>
  <c r="L16" i="7"/>
  <c r="L13" i="7"/>
  <c r="L12" i="7"/>
  <c r="L11" i="7"/>
  <c r="L10" i="7"/>
  <c r="L9" i="7"/>
  <c r="L8" i="7"/>
  <c r="K8" i="6"/>
  <c r="K9" i="6"/>
  <c r="K10" i="6"/>
  <c r="K11" i="6"/>
  <c r="K12" i="6"/>
  <c r="K13" i="6"/>
  <c r="K14" i="6"/>
  <c r="K15" i="6"/>
  <c r="K16" i="6"/>
  <c r="K17" i="6"/>
  <c r="J9" i="6"/>
  <c r="J10" i="6"/>
  <c r="J11" i="6"/>
  <c r="J12" i="6"/>
  <c r="J13" i="6"/>
  <c r="J14" i="6"/>
  <c r="J15" i="6"/>
  <c r="J16" i="6"/>
  <c r="J17" i="6"/>
  <c r="J8" i="6"/>
  <c r="I8" i="6"/>
  <c r="H26" i="6"/>
  <c r="H25" i="6"/>
  <c r="H24" i="6"/>
  <c r="H23" i="6"/>
  <c r="H22" i="6"/>
  <c r="I9" i="6"/>
  <c r="I10" i="6"/>
  <c r="I11" i="6"/>
  <c r="I12" i="6"/>
  <c r="I13" i="6"/>
  <c r="I14" i="6"/>
  <c r="I15" i="6"/>
  <c r="I16" i="6"/>
  <c r="I17" i="6"/>
  <c r="H9" i="6"/>
  <c r="H10" i="6"/>
  <c r="H11" i="6"/>
  <c r="H12" i="6"/>
  <c r="H13" i="6"/>
  <c r="H14" i="6"/>
  <c r="H15" i="6"/>
  <c r="H16" i="6"/>
  <c r="H17" i="6"/>
  <c r="H8" i="6"/>
  <c r="H27" i="6"/>
  <c r="B9" i="4"/>
  <c r="B8" i="4"/>
  <c r="B7" i="4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13" i="5"/>
  <c r="U17" i="5"/>
  <c r="U16" i="5"/>
  <c r="U15" i="5"/>
  <c r="U14" i="5"/>
  <c r="S3" i="5"/>
  <c r="S4" i="5"/>
  <c r="S5" i="5"/>
  <c r="L3" i="5"/>
  <c r="L4" i="5"/>
  <c r="L5" i="5"/>
  <c r="L6" i="5"/>
  <c r="L7" i="5"/>
  <c r="L2" i="5"/>
  <c r="G3" i="4"/>
  <c r="G4" i="4"/>
  <c r="G5" i="4"/>
  <c r="G2" i="4"/>
  <c r="E2" i="4"/>
  <c r="E3" i="5"/>
  <c r="E4" i="5"/>
  <c r="E5" i="5"/>
  <c r="E6" i="5"/>
  <c r="E7" i="5"/>
  <c r="E8" i="5"/>
  <c r="E9" i="5"/>
  <c r="E10" i="5"/>
  <c r="E2" i="5"/>
  <c r="D2" i="5"/>
  <c r="D3" i="5"/>
  <c r="D4" i="5"/>
  <c r="D5" i="5"/>
  <c r="D6" i="5"/>
  <c r="D7" i="5"/>
  <c r="D8" i="5"/>
  <c r="D9" i="5"/>
  <c r="D10" i="5"/>
  <c r="F2" i="4" a="1"/>
  <c r="F2" i="4" s="1"/>
  <c r="E3" i="4"/>
  <c r="E4" i="4"/>
  <c r="E5" i="4"/>
  <c r="B6" i="4"/>
  <c r="F6" i="3"/>
  <c r="G5" i="3"/>
  <c r="G4" i="3"/>
  <c r="G3" i="3"/>
  <c r="G2" i="3"/>
  <c r="F2" i="3"/>
  <c r="G1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4" i="3"/>
  <c r="C2" i="3"/>
  <c r="C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1" i="3"/>
  <c r="H2" i="2"/>
  <c r="E6" i="2"/>
  <c r="E3" i="2"/>
  <c r="E4" i="2"/>
  <c r="E5" i="2"/>
  <c r="E2" i="2"/>
  <c r="C3" i="2"/>
  <c r="C4" i="2"/>
  <c r="C5" i="2"/>
  <c r="C6" i="2"/>
  <c r="C2" i="2"/>
  <c r="B11" i="2"/>
  <c r="B10" i="2"/>
  <c r="B9" i="2"/>
  <c r="B8" i="2"/>
  <c r="B7" i="2"/>
  <c r="I7" i="1"/>
  <c r="I5" i="1"/>
  <c r="I4" i="1"/>
  <c r="I3" i="1"/>
  <c r="G4" i="1"/>
  <c r="G3" i="1"/>
  <c r="F2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<sst xmlns="http://schemas.openxmlformats.org/spreadsheetml/2006/main" count="325" uniqueCount="212">
  <si>
    <t>Kriti</t>
  </si>
  <si>
    <t>Pandey</t>
  </si>
  <si>
    <t>Student</t>
  </si>
  <si>
    <t>Marks</t>
  </si>
  <si>
    <t>A</t>
  </si>
  <si>
    <t>B</t>
  </si>
  <si>
    <t>C</t>
  </si>
  <si>
    <t>D</t>
  </si>
  <si>
    <t>E</t>
  </si>
  <si>
    <t>Highest:</t>
  </si>
  <si>
    <t xml:space="preserve">Average: </t>
  </si>
  <si>
    <t>Total:</t>
  </si>
  <si>
    <t>Lowest:</t>
  </si>
  <si>
    <t xml:space="preserve">No. of students: </t>
  </si>
  <si>
    <t>Roll No</t>
  </si>
  <si>
    <t>Students</t>
  </si>
  <si>
    <t>Absent</t>
  </si>
  <si>
    <t>Average=</t>
  </si>
  <si>
    <t>Attendance</t>
  </si>
  <si>
    <t>Department</t>
  </si>
  <si>
    <t>CSE</t>
  </si>
  <si>
    <t>ECE</t>
  </si>
  <si>
    <t>Result</t>
  </si>
  <si>
    <t xml:space="preserve">    Name</t>
  </si>
  <si>
    <t>Type 1</t>
  </si>
  <si>
    <t>Speed</t>
  </si>
  <si>
    <t>Fire Type AND more than 70 Speed</t>
  </si>
  <si>
    <t xml:space="preserve">      Bulbasaur</t>
  </si>
  <si>
    <t>Grass</t>
  </si>
  <si>
    <t xml:space="preserve">      Ivysaur</t>
  </si>
  <si>
    <t xml:space="preserve">      Venusaur</t>
  </si>
  <si>
    <t xml:space="preserve">      Charmander</t>
  </si>
  <si>
    <t>Fire</t>
  </si>
  <si>
    <t xml:space="preserve">      Charmeleon</t>
  </si>
  <si>
    <t xml:space="preserve">      Charizard</t>
  </si>
  <si>
    <t xml:space="preserve">      Squirtle</t>
  </si>
  <si>
    <t>Water</t>
  </si>
  <si>
    <t xml:space="preserve">      Wartortle</t>
  </si>
  <si>
    <t xml:space="preserve">      Blastoise</t>
  </si>
  <si>
    <t xml:space="preserve">    </t>
  </si>
  <si>
    <t>Averageif</t>
  </si>
  <si>
    <t>Averageifs</t>
  </si>
  <si>
    <t>Concat</t>
  </si>
  <si>
    <t>YES/NO</t>
  </si>
  <si>
    <t xml:space="preserve">    Trainer</t>
  </si>
  <si>
    <t>Pokeball</t>
  </si>
  <si>
    <t>Great Ball</t>
  </si>
  <si>
    <t>Ultraball</t>
  </si>
  <si>
    <t>Master Ball</t>
  </si>
  <si>
    <t>Average</t>
  </si>
  <si>
    <t xml:space="preserve">    Iva</t>
  </si>
  <si>
    <t xml:space="preserve">    Liam</t>
  </si>
  <si>
    <t xml:space="preserve">    Jenny</t>
  </si>
  <si>
    <t xml:space="preserve">    Iben</t>
  </si>
  <si>
    <t xml:space="preserve">    Adora</t>
  </si>
  <si>
    <t xml:space="preserve">    Kasper</t>
  </si>
  <si>
    <t>Hello</t>
  </si>
  <si>
    <t xml:space="preserve">    Bulbasaur</t>
  </si>
  <si>
    <t>Type</t>
  </si>
  <si>
    <t>Average Speed</t>
  </si>
  <si>
    <t xml:space="preserve">    Ivysaur</t>
  </si>
  <si>
    <t xml:space="preserve">    Venusaur</t>
  </si>
  <si>
    <t xml:space="preserve">    Charmander</t>
  </si>
  <si>
    <t xml:space="preserve">    Charmeleon</t>
  </si>
  <si>
    <t xml:space="preserve">    Charizard</t>
  </si>
  <si>
    <t xml:space="preserve">    Squirtle</t>
  </si>
  <si>
    <t xml:space="preserve">    Wartortle</t>
  </si>
  <si>
    <t xml:space="preserve">    Blastoise</t>
  </si>
  <si>
    <t>Defense</t>
  </si>
  <si>
    <t>Generation</t>
  </si>
  <si>
    <t>Gen.</t>
  </si>
  <si>
    <t>Average Defense</t>
  </si>
  <si>
    <t xml:space="preserve">    Chikorita</t>
  </si>
  <si>
    <t xml:space="preserve">    Bayleef</t>
  </si>
  <si>
    <t xml:space="preserve">    Meganium</t>
  </si>
  <si>
    <t xml:space="preserve">    Cyndaquil</t>
  </si>
  <si>
    <t xml:space="preserve">    Quilava</t>
  </si>
  <si>
    <t xml:space="preserve">    Typhlosion</t>
  </si>
  <si>
    <t>Total stats</t>
  </si>
  <si>
    <t>Fighting</t>
  </si>
  <si>
    <t>Electric</t>
  </si>
  <si>
    <t>Rock</t>
  </si>
  <si>
    <t>Dragon</t>
  </si>
  <si>
    <t>Normal</t>
  </si>
  <si>
    <t>Bug</t>
  </si>
  <si>
    <t>Poison</t>
  </si>
  <si>
    <t>Ghost</t>
  </si>
  <si>
    <t>CONCAT</t>
  </si>
  <si>
    <t>Mankey</t>
  </si>
  <si>
    <t>Tentacool</t>
  </si>
  <si>
    <t>Victreebel</t>
  </si>
  <si>
    <t>Poliwrath</t>
  </si>
  <si>
    <t>Magneton</t>
  </si>
  <si>
    <t>Dewgong</t>
  </si>
  <si>
    <t>Cloyster</t>
  </si>
  <si>
    <t>Onix</t>
  </si>
  <si>
    <t>Dragonair</t>
  </si>
  <si>
    <t>Pidgeotto</t>
  </si>
  <si>
    <t>Rattata</t>
  </si>
  <si>
    <t>Beedrill</t>
  </si>
  <si>
    <t>Doduo</t>
  </si>
  <si>
    <t>Kingler</t>
  </si>
  <si>
    <t>Nidoqueen</t>
  </si>
  <si>
    <t>Hitmonchan</t>
  </si>
  <si>
    <t>Charmeleon</t>
  </si>
  <si>
    <t>Arbok</t>
  </si>
  <si>
    <t>Gastly</t>
  </si>
  <si>
    <t>Magikarp</t>
  </si>
  <si>
    <t>Count=</t>
  </si>
  <si>
    <t>CountA=</t>
  </si>
  <si>
    <t>CountIf=</t>
  </si>
  <si>
    <t>Patient ID</t>
  </si>
  <si>
    <t>Name</t>
  </si>
  <si>
    <t>Age</t>
  </si>
  <si>
    <t>Disease</t>
  </si>
  <si>
    <t>Bill Amount</t>
  </si>
  <si>
    <t>Gender</t>
  </si>
  <si>
    <t>P201</t>
  </si>
  <si>
    <t>Ali</t>
  </si>
  <si>
    <t>Diabetes</t>
  </si>
  <si>
    <t>Male</t>
  </si>
  <si>
    <t>P202</t>
  </si>
  <si>
    <t>Sana</t>
  </si>
  <si>
    <t>Flu</t>
  </si>
  <si>
    <t>Female</t>
  </si>
  <si>
    <t>P203</t>
  </si>
  <si>
    <t>Ravi</t>
  </si>
  <si>
    <t>P204</t>
  </si>
  <si>
    <t>Meena</t>
  </si>
  <si>
    <t>BP</t>
  </si>
  <si>
    <t>P205</t>
  </si>
  <si>
    <t>John</t>
  </si>
  <si>
    <t>P206</t>
  </si>
  <si>
    <t>Aisha</t>
  </si>
  <si>
    <t>P207</t>
  </si>
  <si>
    <t>Raj</t>
  </si>
  <si>
    <t>Heart</t>
  </si>
  <si>
    <t>P208</t>
  </si>
  <si>
    <t>Noor</t>
  </si>
  <si>
    <t>P209</t>
  </si>
  <si>
    <t>Imran</t>
  </si>
  <si>
    <t>P210</t>
  </si>
  <si>
    <t>Kavya</t>
  </si>
  <si>
    <t>Concat Pid &amp; Disease</t>
  </si>
  <si>
    <t xml:space="preserve">High Risk Or Normal </t>
  </si>
  <si>
    <t>Eligible or Not</t>
  </si>
  <si>
    <t>Hospital Patients' Data</t>
  </si>
  <si>
    <t>No. of Patients:</t>
  </si>
  <si>
    <t>Data Analysis</t>
  </si>
  <si>
    <t>Total No. of Bills:</t>
  </si>
  <si>
    <t>Average Bill Amount:</t>
  </si>
  <si>
    <t>Average Bill Amount if the disease is Diabetes:</t>
  </si>
  <si>
    <t xml:space="preserve">Average Bill Amount if the patient is above 40 and has Diabetes: </t>
  </si>
  <si>
    <t xml:space="preserve">No. of Female Patients: </t>
  </si>
  <si>
    <t>Total Amount after Discount</t>
  </si>
  <si>
    <t>PatientID</t>
  </si>
  <si>
    <t>Bill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</si>
  <si>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</si>
  <si>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</si>
  <si>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</si>
  <si>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</si>
  <si>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</si>
  <si>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</si>
  <si>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</si>
  <si>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</si>
  <si>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</si>
  <si>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</si>
  <si>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</si>
  <si>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</si>
  <si>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</si>
  <si>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</si>
  <si>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</si>
  <si>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</si>
  <si>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</si>
  <si>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</si>
  <si>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</si>
  <si>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</si>
  <si>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Rahul</t>
  </si>
  <si>
    <t>Mohit</t>
  </si>
  <si>
    <t>Nitish</t>
  </si>
  <si>
    <t>Kabir</t>
  </si>
  <si>
    <t>Harman</t>
  </si>
  <si>
    <t>Priyal</t>
  </si>
  <si>
    <t>Sneha</t>
  </si>
  <si>
    <t>Vidhi</t>
  </si>
  <si>
    <t>Harpal</t>
  </si>
  <si>
    <t>Nishi</t>
  </si>
  <si>
    <t>Muneer</t>
  </si>
  <si>
    <t>Dewbrat</t>
  </si>
  <si>
    <t>Nayanava</t>
  </si>
  <si>
    <t>Rishab</t>
  </si>
  <si>
    <t>Daksh</t>
  </si>
  <si>
    <t>Komal</t>
  </si>
  <si>
    <t>Navjot</t>
  </si>
  <si>
    <t>Naman</t>
  </si>
  <si>
    <t>Yuvraj</t>
  </si>
  <si>
    <t>Highest Bill Amount:</t>
  </si>
  <si>
    <t>Lowest Bill Amount:</t>
  </si>
  <si>
    <t>Patients above age 40 with Diabetes:</t>
  </si>
  <si>
    <t>Second Highest Bill Amount:</t>
  </si>
  <si>
    <t>Second Lowest Bill Amount:</t>
  </si>
  <si>
    <t>First Quartile (Q1) – Lower Spending Range:</t>
  </si>
  <si>
    <t>Average Patient Spending:</t>
  </si>
  <si>
    <t>High-Spending Patients (&gt;₹50,000):</t>
  </si>
  <si>
    <t>Total No of Patients:</t>
  </si>
  <si>
    <t>Billing Amount Range:</t>
  </si>
  <si>
    <t>Total Bill Entries:</t>
  </si>
  <si>
    <t>Missing Bill Entries:</t>
  </si>
  <si>
    <t>Most Frequent Bill Amount:</t>
  </si>
  <si>
    <t>Median Bill Amount:</t>
  </si>
  <si>
    <t>Third Quartile (Q3) – High Spending Range:</t>
  </si>
  <si>
    <t>Standard Deviation of Patient Bills: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</si>
</sst>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28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i/>
      <sz val="18"/>
      <color theme="4" tint="-0.249977111117893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slantDashDot">
        <color theme="8" tint="0.59999389629810485"/>
      </right>
      <top/>
      <bottom/>
      <diagonal/>
    </border>
    <border>
      <left style="slantDashDot">
        <color theme="8" tint="0.59999389629810485"/>
      </left>
      <right/>
      <top/>
      <bottom/>
      <diagonal/>
    </border>
    <border>
      <left style="slantDashDot">
        <color theme="8" tint="0.59999389629810485"/>
      </left>
      <right/>
      <top style="slantDashDot">
        <color theme="8" tint="-0.249977111117893"/>
      </top>
      <bottom/>
      <diagonal/>
    </border>
    <border>
      <left/>
      <right/>
      <top style="slantDashDot">
        <color theme="8" tint="-0.249977111117893"/>
      </top>
      <bottom/>
      <diagonal/>
    </border>
    <border>
      <left/>
      <right style="slantDashDot">
        <color theme="8" tint="0.59999389629810485"/>
      </right>
      <top style="slantDashDot">
        <color theme="8" tint="-0.249977111117893"/>
      </top>
      <bottom/>
      <diagonal/>
    </border>
    <border>
      <left/>
      <right/>
      <top style="slantDashDot">
        <color theme="8" tint="-0.249977111117893"/>
      </top>
      <bottom style="medium">
        <color indexed="64"/>
      </bottom>
      <diagonal/>
    </border>
    <border>
      <left style="slantDashDot">
        <color theme="8" tint="0.59999389629810485"/>
      </left>
      <right/>
      <top/>
      <bottom style="slantDashDot">
        <color theme="8" tint="-0.249977111117893"/>
      </bottom>
      <diagonal/>
    </border>
    <border>
      <left/>
      <right/>
      <top/>
      <bottom style="slantDashDot">
        <color theme="8" tint="-0.249977111117893"/>
      </bottom>
      <diagonal/>
    </border>
    <border>
      <left/>
      <right style="slantDashDot">
        <color theme="8" tint="0.59999389629810485"/>
      </right>
      <top/>
      <bottom style="slantDashDot">
        <color theme="8" tint="-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6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0" fillId="0" borderId="13" xfId="0" applyBorder="1"/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4" xfId="0" applyBorder="1"/>
    <xf numFmtId="0" fontId="4" fillId="0" borderId="0" xfId="0" applyFont="1"/>
    <xf numFmtId="0" fontId="5" fillId="2" borderId="7" xfId="1" applyFont="1" applyFill="1" applyBorder="1"/>
    <xf numFmtId="0" fontId="5" fillId="2" borderId="8" xfId="1" applyFont="1" applyFill="1" applyBorder="1"/>
    <xf numFmtId="0" fontId="5" fillId="2" borderId="13" xfId="1" applyFont="1" applyFill="1" applyBorder="1"/>
    <xf numFmtId="0" fontId="3" fillId="2" borderId="9" xfId="1" applyFont="1" applyFill="1" applyBorder="1"/>
    <xf numFmtId="0" fontId="3" fillId="2" borderId="1" xfId="1" applyFont="1" applyFill="1" applyBorder="1" applyAlignment="1">
      <alignment horizontal="center"/>
    </xf>
    <xf numFmtId="0" fontId="3" fillId="2" borderId="1" xfId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0" xfId="0" applyFont="1" applyFill="1" applyBorder="1"/>
    <xf numFmtId="0" fontId="3" fillId="2" borderId="11" xfId="1" applyFont="1" applyFill="1" applyBorder="1"/>
    <xf numFmtId="0" fontId="3" fillId="2" borderId="12" xfId="1" applyFont="1" applyFill="1" applyBorder="1" applyAlignment="1">
      <alignment horizontal="center"/>
    </xf>
    <xf numFmtId="0" fontId="3" fillId="2" borderId="12" xfId="1" applyFont="1" applyFill="1" applyBorder="1"/>
    <xf numFmtId="0" fontId="3" fillId="2" borderId="12" xfId="0" applyFont="1" applyFill="1" applyBorder="1" applyAlignment="1">
      <alignment horizontal="center"/>
    </xf>
    <xf numFmtId="0" fontId="3" fillId="2" borderId="14" xfId="0" applyFont="1" applyFill="1" applyBorder="1"/>
    <xf numFmtId="0" fontId="9" fillId="2" borderId="3" xfId="0" applyFont="1" applyFill="1" applyBorder="1"/>
    <xf numFmtId="0" fontId="10" fillId="2" borderId="4" xfId="0" applyFont="1" applyFill="1" applyBorder="1"/>
    <xf numFmtId="0" fontId="10" fillId="2" borderId="6" xfId="0" applyFont="1" applyFill="1" applyBorder="1"/>
    <xf numFmtId="0" fontId="0" fillId="0" borderId="18" xfId="0" applyBorder="1"/>
    <xf numFmtId="0" fontId="0" fillId="0" borderId="23" xfId="0" applyBorder="1"/>
    <xf numFmtId="0" fontId="0" fillId="0" borderId="20" xfId="0" applyBorder="1"/>
    <xf numFmtId="0" fontId="0" fillId="0" borderId="26" xfId="0" applyBorder="1"/>
    <xf numFmtId="0" fontId="3" fillId="3" borderId="10" xfId="0" applyFont="1" applyFill="1" applyBorder="1"/>
    <xf numFmtId="0" fontId="2" fillId="0" borderId="1" xfId="1" applyBorder="1"/>
    <xf numFmtId="0" fontId="10" fillId="2" borderId="17" xfId="1" applyFont="1" applyFill="1" applyBorder="1"/>
    <xf numFmtId="0" fontId="10" fillId="2" borderId="5" xfId="1" applyFont="1" applyFill="1" applyBorder="1"/>
    <xf numFmtId="0" fontId="6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9" fillId="2" borderId="15" xfId="1" applyFont="1" applyFill="1" applyBorder="1"/>
    <xf numFmtId="0" fontId="9" fillId="2" borderId="2" xfId="1" applyFont="1" applyFill="1" applyBorder="1"/>
    <xf numFmtId="0" fontId="10" fillId="2" borderId="16" xfId="1" applyFont="1" applyFill="1" applyBorder="1"/>
    <xf numFmtId="0" fontId="10" fillId="2" borderId="0" xfId="1" applyFont="1" applyFill="1"/>
    <xf numFmtId="0" fontId="0" fillId="0" borderId="0" xfId="0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0" xfId="0" applyFont="1" applyBorder="1"/>
    <xf numFmtId="0" fontId="0" fillId="0" borderId="0" xfId="0" applyFont="1" applyBorder="1"/>
    <xf numFmtId="0" fontId="0" fillId="0" borderId="32" xfId="0" applyBorder="1"/>
    <xf numFmtId="0" fontId="0" fillId="0" borderId="33" xfId="0" applyBorder="1"/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2" fillId="3" borderId="1" xfId="1" applyFill="1" applyBorder="1"/>
  </cellXfs>
  <cellStyles count="2">
    <cellStyle name="Normal" xfId="0" builtinId="0"/>
    <cellStyle name="Normal 2" xfId="1" xr:uid="{5138F6D2-3E68-42F9-B2DB-894A6C6520B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</dxf>
  </dxfs>
  <tableStyles count="0" defaultTableStyle="TableStyleMedium2" defaultPivotStyle="PivotStyleLight16"/>
  <colors>
    <mruColors>
      <color rgb="FFCCFFFF"/>
      <color rgb="FFAD1B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42AF-C2BB-47F4-BAC3-EE0CB1E5FEC2}">
  <dimension ref="A1:I19"/>
  <sheetViews>
    <sheetView workbookViewId="0">
      <selection activeCell="I8" sqref="I8"/>
    </sheetView>
  </sheetViews>
  <sheetFormatPr defaultRowHeight="14.4" x14ac:dyDescent="0.3"/>
  <cols>
    <col min="7" max="7" width="11.33203125" customWidth="1"/>
    <col min="9" max="9" width="10.33203125" bestFit="1" customWidth="1"/>
  </cols>
  <sheetData>
    <row r="1" spans="1:9" x14ac:dyDescent="0.3">
      <c r="A1">
        <v>12</v>
      </c>
      <c r="B1">
        <v>11</v>
      </c>
      <c r="C1">
        <v>15</v>
      </c>
      <c r="D1">
        <v>14</v>
      </c>
      <c r="E1">
        <v>12</v>
      </c>
      <c r="F1">
        <f>SUM(A1:E19)</f>
        <v>1216</v>
      </c>
      <c r="G1" t="s">
        <v>0</v>
      </c>
      <c r="I1" s="1">
        <v>38905</v>
      </c>
    </row>
    <row r="2" spans="1:9" x14ac:dyDescent="0.3">
      <c r="A2">
        <v>12</v>
      </c>
      <c r="B2">
        <v>11</v>
      </c>
      <c r="C2">
        <v>15</v>
      </c>
      <c r="D2">
        <v>14</v>
      </c>
      <c r="E2">
        <v>12</v>
      </c>
      <c r="F2" s="2" t="str">
        <f>IF(F1&gt;=1000,"Pass","Fail")</f>
        <v>Pass</v>
      </c>
      <c r="G2" t="s">
        <v>1</v>
      </c>
      <c r="I2" s="1">
        <v>46049</v>
      </c>
    </row>
    <row r="3" spans="1:9" x14ac:dyDescent="0.3">
      <c r="A3">
        <v>12</v>
      </c>
      <c r="B3">
        <v>11</v>
      </c>
      <c r="C3">
        <v>15</v>
      </c>
      <c r="D3">
        <v>14</v>
      </c>
      <c r="E3">
        <v>12</v>
      </c>
      <c r="G3" t="str">
        <f>_xlfn.CONCAT(G1," ",G2)</f>
        <v>Kriti Pandey</v>
      </c>
      <c r="I3">
        <f>DATEDIF(I1,I2,"Y")</f>
        <v>19</v>
      </c>
    </row>
    <row r="4" spans="1:9" x14ac:dyDescent="0.3">
      <c r="A4">
        <v>12</v>
      </c>
      <c r="B4">
        <v>11</v>
      </c>
      <c r="C4">
        <v>15</v>
      </c>
      <c r="D4">
        <v>14</v>
      </c>
      <c r="E4">
        <v>12</v>
      </c>
      <c r="G4" t="str">
        <f>_xlfn.CONCAT(A1,"",A2)</f>
        <v>1212</v>
      </c>
      <c r="I4">
        <f>DATEDIF(I1,I2,"D")</f>
        <v>7144</v>
      </c>
    </row>
    <row r="5" spans="1:9" x14ac:dyDescent="0.3">
      <c r="A5">
        <v>12</v>
      </c>
      <c r="B5">
        <v>11</v>
      </c>
      <c r="C5">
        <v>15</v>
      </c>
      <c r="D5">
        <v>14</v>
      </c>
      <c r="E5">
        <v>12</v>
      </c>
      <c r="I5">
        <f>DATEDIF(I1,I2,"yd")</f>
        <v>204</v>
      </c>
    </row>
    <row r="6" spans="1:9" x14ac:dyDescent="0.3">
      <c r="A6">
        <v>12</v>
      </c>
      <c r="B6">
        <v>11</v>
      </c>
      <c r="C6">
        <v>15</v>
      </c>
      <c r="D6">
        <v>14</v>
      </c>
      <c r="E6">
        <v>12</v>
      </c>
    </row>
    <row r="7" spans="1:9" x14ac:dyDescent="0.3">
      <c r="A7">
        <v>12</v>
      </c>
      <c r="B7">
        <v>11</v>
      </c>
      <c r="C7">
        <v>15</v>
      </c>
      <c r="D7">
        <v>14</v>
      </c>
      <c r="E7">
        <v>12</v>
      </c>
      <c r="I7">
        <f>COUNTIF(A1:E19,12)</f>
        <v>38</v>
      </c>
    </row>
    <row r="8" spans="1:9" x14ac:dyDescent="0.3">
      <c r="A8">
        <v>12</v>
      </c>
      <c r="B8">
        <v>11</v>
      </c>
      <c r="C8">
        <v>15</v>
      </c>
      <c r="D8">
        <v>14</v>
      </c>
      <c r="E8">
        <v>12</v>
      </c>
    </row>
    <row r="9" spans="1:9" x14ac:dyDescent="0.3">
      <c r="A9">
        <v>12</v>
      </c>
      <c r="B9">
        <v>11</v>
      </c>
      <c r="C9">
        <v>15</v>
      </c>
      <c r="D9">
        <v>14</v>
      </c>
      <c r="E9">
        <v>12</v>
      </c>
    </row>
    <row r="10" spans="1:9" x14ac:dyDescent="0.3">
      <c r="A10">
        <v>12</v>
      </c>
      <c r="B10">
        <v>11</v>
      </c>
      <c r="C10">
        <v>15</v>
      </c>
      <c r="D10">
        <v>14</v>
      </c>
      <c r="E10">
        <v>12</v>
      </c>
    </row>
    <row r="11" spans="1:9" x14ac:dyDescent="0.3">
      <c r="A11">
        <v>12</v>
      </c>
      <c r="B11">
        <v>11</v>
      </c>
      <c r="C11">
        <v>15</v>
      </c>
      <c r="D11">
        <v>14</v>
      </c>
      <c r="E11">
        <v>12</v>
      </c>
    </row>
    <row r="12" spans="1:9" x14ac:dyDescent="0.3">
      <c r="A12">
        <v>12</v>
      </c>
      <c r="B12">
        <v>11</v>
      </c>
      <c r="C12">
        <v>15</v>
      </c>
      <c r="D12">
        <v>14</v>
      </c>
      <c r="E12">
        <v>12</v>
      </c>
    </row>
    <row r="13" spans="1:9" x14ac:dyDescent="0.3">
      <c r="A13">
        <v>12</v>
      </c>
      <c r="B13">
        <v>11</v>
      </c>
      <c r="C13">
        <v>15</v>
      </c>
      <c r="D13">
        <v>14</v>
      </c>
      <c r="E13">
        <v>12</v>
      </c>
    </row>
    <row r="14" spans="1:9" x14ac:dyDescent="0.3">
      <c r="A14">
        <v>12</v>
      </c>
      <c r="B14">
        <v>11</v>
      </c>
      <c r="C14">
        <v>15</v>
      </c>
      <c r="D14">
        <v>14</v>
      </c>
      <c r="E14">
        <v>12</v>
      </c>
    </row>
    <row r="15" spans="1:9" x14ac:dyDescent="0.3">
      <c r="A15">
        <v>12</v>
      </c>
      <c r="B15">
        <v>11</v>
      </c>
      <c r="C15">
        <v>15</v>
      </c>
      <c r="D15">
        <v>14</v>
      </c>
      <c r="E15">
        <v>12</v>
      </c>
    </row>
    <row r="16" spans="1:9" x14ac:dyDescent="0.3">
      <c r="A16">
        <v>12</v>
      </c>
      <c r="B16">
        <v>11</v>
      </c>
      <c r="C16">
        <v>15</v>
      </c>
      <c r="D16">
        <v>14</v>
      </c>
      <c r="E16">
        <v>12</v>
      </c>
    </row>
    <row r="17" spans="1:5" x14ac:dyDescent="0.3">
      <c r="A17">
        <v>12</v>
      </c>
      <c r="B17">
        <v>11</v>
      </c>
      <c r="C17">
        <v>15</v>
      </c>
      <c r="D17">
        <v>14</v>
      </c>
      <c r="E17">
        <v>12</v>
      </c>
    </row>
    <row r="18" spans="1:5" x14ac:dyDescent="0.3">
      <c r="A18">
        <v>12</v>
      </c>
      <c r="B18">
        <v>11</v>
      </c>
      <c r="C18">
        <v>15</v>
      </c>
      <c r="D18">
        <v>14</v>
      </c>
      <c r="E18">
        <v>12</v>
      </c>
    </row>
    <row r="19" spans="1:5" x14ac:dyDescent="0.3">
      <c r="A19">
        <v>12</v>
      </c>
      <c r="B19">
        <v>11</v>
      </c>
      <c r="C19">
        <v>15</v>
      </c>
      <c r="D19">
        <v>14</v>
      </c>
      <c r="E19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F523-3808-41FD-8F8F-31430579F6F1}">
  <dimension ref="A1:H11"/>
  <sheetViews>
    <sheetView workbookViewId="0">
      <selection activeCell="H3" sqref="H3"/>
    </sheetView>
  </sheetViews>
  <sheetFormatPr defaultRowHeight="14.4" x14ac:dyDescent="0.3"/>
  <cols>
    <col min="1" max="1" width="15.21875" customWidth="1"/>
    <col min="2" max="2" width="18" customWidth="1"/>
    <col min="3" max="3" width="14.6640625" customWidth="1"/>
    <col min="7" max="7" width="10.33203125" bestFit="1" customWidth="1"/>
  </cols>
  <sheetData>
    <row r="1" spans="1:8" x14ac:dyDescent="0.3">
      <c r="A1" s="4" t="s">
        <v>2</v>
      </c>
      <c r="B1" s="4" t="s">
        <v>3</v>
      </c>
      <c r="D1" t="s">
        <v>14</v>
      </c>
    </row>
    <row r="2" spans="1:8" x14ac:dyDescent="0.3">
      <c r="A2" s="3" t="s">
        <v>4</v>
      </c>
      <c r="B2" s="3">
        <v>78</v>
      </c>
      <c r="C2" t="str">
        <f>IF(B2&gt;=75,"Distinction",IF(B2&gt;=40,"Pass","Fail"))</f>
        <v>Distinction</v>
      </c>
      <c r="D2">
        <v>1</v>
      </c>
      <c r="E2" t="str">
        <f>_xlfn.CONCAT(LEFT(A2,2),RIGHT(D2,2),LEN(A2))</f>
        <v>A11</v>
      </c>
      <c r="F2" t="s">
        <v>0</v>
      </c>
      <c r="G2" s="1">
        <v>38905</v>
      </c>
      <c r="H2">
        <f ca="1">DATEDIF(G2,TODAY(),"Y")</f>
        <v>19</v>
      </c>
    </row>
    <row r="3" spans="1:8" x14ac:dyDescent="0.3">
      <c r="A3" s="3" t="s">
        <v>5</v>
      </c>
      <c r="B3" s="3">
        <v>45</v>
      </c>
      <c r="C3" t="str">
        <f t="shared" ref="C3:C6" si="0">IF(B3&gt;=75,"Distinction",IF(B3&gt;=40,"Pass","Fail"))</f>
        <v>Pass</v>
      </c>
      <c r="D3">
        <v>2</v>
      </c>
      <c r="E3" t="str">
        <f t="shared" ref="E3:E6" si="1">_xlfn.CONCAT(LEFT(A3,2),RIGHT(D3,2),LEN(A3))</f>
        <v>B21</v>
      </c>
    </row>
    <row r="4" spans="1:8" x14ac:dyDescent="0.3">
      <c r="A4" s="3" t="s">
        <v>6</v>
      </c>
      <c r="B4" s="3">
        <v>62</v>
      </c>
      <c r="C4" t="str">
        <f t="shared" si="0"/>
        <v>Pass</v>
      </c>
      <c r="D4">
        <v>3</v>
      </c>
      <c r="E4" t="str">
        <f t="shared" si="1"/>
        <v>C31</v>
      </c>
    </row>
    <row r="5" spans="1:8" x14ac:dyDescent="0.3">
      <c r="A5" s="3" t="s">
        <v>7</v>
      </c>
      <c r="B5" s="3">
        <v>90</v>
      </c>
      <c r="C5" t="str">
        <f t="shared" si="0"/>
        <v>Distinction</v>
      </c>
      <c r="D5">
        <v>4</v>
      </c>
      <c r="E5" t="str">
        <f t="shared" si="1"/>
        <v>D41</v>
      </c>
    </row>
    <row r="6" spans="1:8" x14ac:dyDescent="0.3">
      <c r="A6" s="3" t="s">
        <v>8</v>
      </c>
      <c r="B6" s="3">
        <v>55</v>
      </c>
      <c r="C6" t="str">
        <f t="shared" si="0"/>
        <v>Pass</v>
      </c>
      <c r="D6">
        <v>5</v>
      </c>
      <c r="E6" t="str">
        <f t="shared" si="1"/>
        <v>E51</v>
      </c>
    </row>
    <row r="7" spans="1:8" x14ac:dyDescent="0.3">
      <c r="A7" t="s">
        <v>11</v>
      </c>
      <c r="B7">
        <f>SUM(B2:B6)</f>
        <v>330</v>
      </c>
    </row>
    <row r="8" spans="1:8" x14ac:dyDescent="0.3">
      <c r="A8" t="s">
        <v>10</v>
      </c>
      <c r="B8">
        <f>AVERAGE(B2:B6)</f>
        <v>66</v>
      </c>
    </row>
    <row r="9" spans="1:8" x14ac:dyDescent="0.3">
      <c r="A9" t="s">
        <v>9</v>
      </c>
      <c r="B9">
        <f>MAX(B2:B6)</f>
        <v>90</v>
      </c>
    </row>
    <row r="10" spans="1:8" x14ac:dyDescent="0.3">
      <c r="A10" t="s">
        <v>12</v>
      </c>
      <c r="B10">
        <f>MIN(B2:B6)</f>
        <v>45</v>
      </c>
    </row>
    <row r="11" spans="1:8" x14ac:dyDescent="0.3">
      <c r="A11" t="s">
        <v>13</v>
      </c>
      <c r="B11">
        <f>COUNT(B2:B6)</f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9EE8E-7CC6-4996-A56F-7F316AC02B7E}">
  <dimension ref="A1:G84"/>
  <sheetViews>
    <sheetView workbookViewId="0">
      <selection activeCell="I17" activeCellId="1" sqref="G5 I17"/>
    </sheetView>
  </sheetViews>
  <sheetFormatPr defaultRowHeight="14.4" x14ac:dyDescent="0.3"/>
  <sheetData>
    <row r="1" spans="1:7" x14ac:dyDescent="0.3">
      <c r="A1" t="str">
        <f>CHAR(ROW()+64)</f>
        <v>A</v>
      </c>
      <c r="B1">
        <v>65</v>
      </c>
      <c r="C1">
        <f>ROW()</f>
        <v>1</v>
      </c>
      <c r="E1">
        <v>10</v>
      </c>
      <c r="F1">
        <v>20</v>
      </c>
      <c r="G1">
        <f>E1+F1</f>
        <v>30</v>
      </c>
    </row>
    <row r="2" spans="1:7" x14ac:dyDescent="0.3">
      <c r="A2" t="str">
        <f t="shared" ref="A2:A29" si="0">CHAR(ROW()+64)</f>
        <v>B</v>
      </c>
      <c r="B2">
        <v>66</v>
      </c>
      <c r="C2" t="str">
        <f>CHAR(ROW()+96)</f>
        <v>b</v>
      </c>
      <c r="E2">
        <v>50</v>
      </c>
      <c r="F2">
        <f>E2*2</f>
        <v>100</v>
      </c>
      <c r="G2">
        <f>E2+10</f>
        <v>60</v>
      </c>
    </row>
    <row r="3" spans="1:7" x14ac:dyDescent="0.3">
      <c r="A3" t="str">
        <f t="shared" si="0"/>
        <v>C</v>
      </c>
      <c r="B3">
        <v>67</v>
      </c>
      <c r="E3">
        <v>10</v>
      </c>
      <c r="F3">
        <v>2</v>
      </c>
      <c r="G3">
        <f>E3/F3</f>
        <v>5</v>
      </c>
    </row>
    <row r="4" spans="1:7" x14ac:dyDescent="0.3">
      <c r="A4" t="str">
        <f t="shared" si="0"/>
        <v>D</v>
      </c>
      <c r="B4">
        <f>ROW()+64</f>
        <v>68</v>
      </c>
      <c r="E4">
        <v>8</v>
      </c>
      <c r="F4" t="s">
        <v>4</v>
      </c>
      <c r="G4" t="e">
        <f>E4/F4</f>
        <v>#VALUE!</v>
      </c>
    </row>
    <row r="5" spans="1:7" x14ac:dyDescent="0.3">
      <c r="A5" t="str">
        <f t="shared" si="0"/>
        <v>E</v>
      </c>
      <c r="B5">
        <f t="shared" ref="B5:B68" si="1">ROW()+64</f>
        <v>69</v>
      </c>
      <c r="E5">
        <v>8</v>
      </c>
      <c r="F5">
        <v>0</v>
      </c>
      <c r="G5" t="e">
        <f>E5/F5</f>
        <v>#DIV/0!</v>
      </c>
    </row>
    <row r="6" spans="1:7" x14ac:dyDescent="0.3">
      <c r="A6" t="str">
        <f t="shared" si="0"/>
        <v>F</v>
      </c>
      <c r="B6">
        <f t="shared" si="1"/>
        <v>70</v>
      </c>
      <c r="E6">
        <v>60</v>
      </c>
      <c r="F6">
        <f>IF(E6&gt;=50,E6*2,E6*1.5)</f>
        <v>120</v>
      </c>
    </row>
    <row r="7" spans="1:7" x14ac:dyDescent="0.3">
      <c r="A7" t="str">
        <f t="shared" si="0"/>
        <v>G</v>
      </c>
      <c r="B7">
        <f t="shared" si="1"/>
        <v>71</v>
      </c>
    </row>
    <row r="8" spans="1:7" x14ac:dyDescent="0.3">
      <c r="A8" t="str">
        <f t="shared" si="0"/>
        <v>H</v>
      </c>
      <c r="B8">
        <f t="shared" si="1"/>
        <v>72</v>
      </c>
    </row>
    <row r="9" spans="1:7" x14ac:dyDescent="0.3">
      <c r="A9" t="str">
        <f t="shared" si="0"/>
        <v>I</v>
      </c>
      <c r="B9">
        <f t="shared" si="1"/>
        <v>73</v>
      </c>
    </row>
    <row r="10" spans="1:7" x14ac:dyDescent="0.3">
      <c r="A10" t="str">
        <f t="shared" si="0"/>
        <v>J</v>
      </c>
      <c r="B10">
        <f t="shared" si="1"/>
        <v>74</v>
      </c>
    </row>
    <row r="11" spans="1:7" x14ac:dyDescent="0.3">
      <c r="A11" t="str">
        <f t="shared" si="0"/>
        <v>K</v>
      </c>
      <c r="B11">
        <f t="shared" si="1"/>
        <v>75</v>
      </c>
    </row>
    <row r="12" spans="1:7" x14ac:dyDescent="0.3">
      <c r="A12" t="str">
        <f t="shared" si="0"/>
        <v>L</v>
      </c>
      <c r="B12">
        <f t="shared" si="1"/>
        <v>76</v>
      </c>
    </row>
    <row r="13" spans="1:7" x14ac:dyDescent="0.3">
      <c r="A13" t="str">
        <f t="shared" si="0"/>
        <v>M</v>
      </c>
      <c r="B13">
        <f t="shared" si="1"/>
        <v>77</v>
      </c>
    </row>
    <row r="14" spans="1:7" x14ac:dyDescent="0.3">
      <c r="A14" t="str">
        <f t="shared" si="0"/>
        <v>N</v>
      </c>
      <c r="B14">
        <f t="shared" si="1"/>
        <v>78</v>
      </c>
    </row>
    <row r="15" spans="1:7" x14ac:dyDescent="0.3">
      <c r="A15" t="str">
        <f t="shared" si="0"/>
        <v>O</v>
      </c>
      <c r="B15">
        <f t="shared" si="1"/>
        <v>79</v>
      </c>
    </row>
    <row r="16" spans="1:7" x14ac:dyDescent="0.3">
      <c r="A16" t="str">
        <f t="shared" si="0"/>
        <v>P</v>
      </c>
      <c r="B16">
        <f t="shared" si="1"/>
        <v>80</v>
      </c>
    </row>
    <row r="17" spans="1:2" x14ac:dyDescent="0.3">
      <c r="A17" t="str">
        <f t="shared" si="0"/>
        <v>Q</v>
      </c>
      <c r="B17">
        <f t="shared" si="1"/>
        <v>81</v>
      </c>
    </row>
    <row r="18" spans="1:2" x14ac:dyDescent="0.3">
      <c r="A18" t="str">
        <f t="shared" si="0"/>
        <v>R</v>
      </c>
      <c r="B18">
        <f t="shared" si="1"/>
        <v>82</v>
      </c>
    </row>
    <row r="19" spans="1:2" x14ac:dyDescent="0.3">
      <c r="A19" t="str">
        <f t="shared" si="0"/>
        <v>S</v>
      </c>
      <c r="B19">
        <f t="shared" si="1"/>
        <v>83</v>
      </c>
    </row>
    <row r="20" spans="1:2" x14ac:dyDescent="0.3">
      <c r="A20" t="str">
        <f t="shared" si="0"/>
        <v>T</v>
      </c>
      <c r="B20">
        <f t="shared" si="1"/>
        <v>84</v>
      </c>
    </row>
    <row r="21" spans="1:2" x14ac:dyDescent="0.3">
      <c r="A21" t="str">
        <f t="shared" si="0"/>
        <v>U</v>
      </c>
      <c r="B21">
        <f t="shared" si="1"/>
        <v>85</v>
      </c>
    </row>
    <row r="22" spans="1:2" x14ac:dyDescent="0.3">
      <c r="A22" t="str">
        <f t="shared" si="0"/>
        <v>V</v>
      </c>
      <c r="B22">
        <f t="shared" si="1"/>
        <v>86</v>
      </c>
    </row>
    <row r="23" spans="1:2" x14ac:dyDescent="0.3">
      <c r="A23" t="str">
        <f t="shared" si="0"/>
        <v>W</v>
      </c>
      <c r="B23">
        <f t="shared" si="1"/>
        <v>87</v>
      </c>
    </row>
    <row r="24" spans="1:2" x14ac:dyDescent="0.3">
      <c r="A24" t="str">
        <f t="shared" si="0"/>
        <v>X</v>
      </c>
      <c r="B24">
        <f t="shared" si="1"/>
        <v>88</v>
      </c>
    </row>
    <row r="25" spans="1:2" x14ac:dyDescent="0.3">
      <c r="A25" t="str">
        <f t="shared" si="0"/>
        <v>Y</v>
      </c>
      <c r="B25">
        <f t="shared" si="1"/>
        <v>89</v>
      </c>
    </row>
    <row r="26" spans="1:2" x14ac:dyDescent="0.3">
      <c r="A26" t="str">
        <f t="shared" si="0"/>
        <v>Z</v>
      </c>
      <c r="B26">
        <f t="shared" si="1"/>
        <v>90</v>
      </c>
    </row>
    <row r="27" spans="1:2" x14ac:dyDescent="0.3">
      <c r="A27" t="str">
        <f t="shared" si="0"/>
        <v>[</v>
      </c>
      <c r="B27">
        <f t="shared" si="1"/>
        <v>91</v>
      </c>
    </row>
    <row r="28" spans="1:2" x14ac:dyDescent="0.3">
      <c r="A28" t="str">
        <f t="shared" ref="A28" si="2">CHAR(ROW()+64)</f>
        <v>\</v>
      </c>
      <c r="B28">
        <f t="shared" si="1"/>
        <v>92</v>
      </c>
    </row>
    <row r="29" spans="1:2" x14ac:dyDescent="0.3">
      <c r="A29" t="str">
        <f t="shared" si="0"/>
        <v>]</v>
      </c>
      <c r="B29">
        <f t="shared" si="1"/>
        <v>93</v>
      </c>
    </row>
    <row r="30" spans="1:2" x14ac:dyDescent="0.3">
      <c r="A30" t="str">
        <f t="shared" ref="A30:A71" si="3">CHAR(ROW()+64)</f>
        <v>^</v>
      </c>
      <c r="B30">
        <f t="shared" si="1"/>
        <v>94</v>
      </c>
    </row>
    <row r="31" spans="1:2" x14ac:dyDescent="0.3">
      <c r="A31" t="str">
        <f t="shared" si="3"/>
        <v>_</v>
      </c>
      <c r="B31">
        <f t="shared" si="1"/>
        <v>95</v>
      </c>
    </row>
    <row r="32" spans="1:2" x14ac:dyDescent="0.3">
      <c r="A32" t="str">
        <f t="shared" si="3"/>
        <v>`</v>
      </c>
      <c r="B32">
        <f t="shared" si="1"/>
        <v>96</v>
      </c>
    </row>
    <row r="33" spans="1:2" x14ac:dyDescent="0.3">
      <c r="A33" t="str">
        <f t="shared" si="3"/>
        <v>a</v>
      </c>
      <c r="B33">
        <f t="shared" si="1"/>
        <v>97</v>
      </c>
    </row>
    <row r="34" spans="1:2" x14ac:dyDescent="0.3">
      <c r="A34" t="str">
        <f t="shared" si="3"/>
        <v>b</v>
      </c>
      <c r="B34">
        <f t="shared" si="1"/>
        <v>98</v>
      </c>
    </row>
    <row r="35" spans="1:2" x14ac:dyDescent="0.3">
      <c r="A35" t="str">
        <f t="shared" si="3"/>
        <v>c</v>
      </c>
      <c r="B35">
        <f t="shared" si="1"/>
        <v>99</v>
      </c>
    </row>
    <row r="36" spans="1:2" x14ac:dyDescent="0.3">
      <c r="A36" t="str">
        <f t="shared" si="3"/>
        <v>d</v>
      </c>
      <c r="B36">
        <f t="shared" si="1"/>
        <v>100</v>
      </c>
    </row>
    <row r="37" spans="1:2" x14ac:dyDescent="0.3">
      <c r="A37" t="str">
        <f t="shared" si="3"/>
        <v>e</v>
      </c>
      <c r="B37">
        <f t="shared" si="1"/>
        <v>101</v>
      </c>
    </row>
    <row r="38" spans="1:2" x14ac:dyDescent="0.3">
      <c r="A38" t="str">
        <f t="shared" si="3"/>
        <v>f</v>
      </c>
      <c r="B38">
        <f t="shared" si="1"/>
        <v>102</v>
      </c>
    </row>
    <row r="39" spans="1:2" x14ac:dyDescent="0.3">
      <c r="A39" t="str">
        <f t="shared" si="3"/>
        <v>g</v>
      </c>
      <c r="B39">
        <f t="shared" si="1"/>
        <v>103</v>
      </c>
    </row>
    <row r="40" spans="1:2" x14ac:dyDescent="0.3">
      <c r="A40" t="str">
        <f t="shared" si="3"/>
        <v>h</v>
      </c>
      <c r="B40">
        <f t="shared" si="1"/>
        <v>104</v>
      </c>
    </row>
    <row r="41" spans="1:2" x14ac:dyDescent="0.3">
      <c r="A41" t="str">
        <f t="shared" si="3"/>
        <v>i</v>
      </c>
      <c r="B41">
        <f t="shared" si="1"/>
        <v>105</v>
      </c>
    </row>
    <row r="42" spans="1:2" x14ac:dyDescent="0.3">
      <c r="A42" t="str">
        <f t="shared" si="3"/>
        <v>j</v>
      </c>
      <c r="B42">
        <f t="shared" si="1"/>
        <v>106</v>
      </c>
    </row>
    <row r="43" spans="1:2" x14ac:dyDescent="0.3">
      <c r="A43" t="str">
        <f t="shared" si="3"/>
        <v>k</v>
      </c>
      <c r="B43">
        <f t="shared" si="1"/>
        <v>107</v>
      </c>
    </row>
    <row r="44" spans="1:2" x14ac:dyDescent="0.3">
      <c r="A44" t="str">
        <f t="shared" si="3"/>
        <v>l</v>
      </c>
      <c r="B44">
        <f t="shared" si="1"/>
        <v>108</v>
      </c>
    </row>
    <row r="45" spans="1:2" x14ac:dyDescent="0.3">
      <c r="A45" t="str">
        <f t="shared" si="3"/>
        <v>m</v>
      </c>
      <c r="B45">
        <f t="shared" si="1"/>
        <v>109</v>
      </c>
    </row>
    <row r="46" spans="1:2" x14ac:dyDescent="0.3">
      <c r="A46" t="str">
        <f t="shared" si="3"/>
        <v>n</v>
      </c>
      <c r="B46">
        <f t="shared" si="1"/>
        <v>110</v>
      </c>
    </row>
    <row r="47" spans="1:2" x14ac:dyDescent="0.3">
      <c r="A47" t="str">
        <f t="shared" si="3"/>
        <v>o</v>
      </c>
      <c r="B47">
        <f t="shared" si="1"/>
        <v>111</v>
      </c>
    </row>
    <row r="48" spans="1:2" x14ac:dyDescent="0.3">
      <c r="A48" t="str">
        <f t="shared" si="3"/>
        <v>p</v>
      </c>
      <c r="B48">
        <f t="shared" si="1"/>
        <v>112</v>
      </c>
    </row>
    <row r="49" spans="1:2" x14ac:dyDescent="0.3">
      <c r="A49" t="str">
        <f t="shared" si="3"/>
        <v>q</v>
      </c>
      <c r="B49">
        <f t="shared" si="1"/>
        <v>113</v>
      </c>
    </row>
    <row r="50" spans="1:2" x14ac:dyDescent="0.3">
      <c r="A50" t="str">
        <f t="shared" si="3"/>
        <v>r</v>
      </c>
      <c r="B50">
        <f t="shared" si="1"/>
        <v>114</v>
      </c>
    </row>
    <row r="51" spans="1:2" x14ac:dyDescent="0.3">
      <c r="A51" t="str">
        <f t="shared" si="3"/>
        <v>s</v>
      </c>
      <c r="B51">
        <f t="shared" si="1"/>
        <v>115</v>
      </c>
    </row>
    <row r="52" spans="1:2" x14ac:dyDescent="0.3">
      <c r="A52" t="str">
        <f t="shared" si="3"/>
        <v>t</v>
      </c>
      <c r="B52">
        <f t="shared" si="1"/>
        <v>116</v>
      </c>
    </row>
    <row r="53" spans="1:2" x14ac:dyDescent="0.3">
      <c r="A53" t="str">
        <f t="shared" si="3"/>
        <v>u</v>
      </c>
      <c r="B53">
        <f t="shared" si="1"/>
        <v>117</v>
      </c>
    </row>
    <row r="54" spans="1:2" x14ac:dyDescent="0.3">
      <c r="A54" t="str">
        <f t="shared" si="3"/>
        <v>v</v>
      </c>
      <c r="B54">
        <f t="shared" si="1"/>
        <v>118</v>
      </c>
    </row>
    <row r="55" spans="1:2" x14ac:dyDescent="0.3">
      <c r="A55" t="str">
        <f t="shared" si="3"/>
        <v>w</v>
      </c>
      <c r="B55">
        <f t="shared" si="1"/>
        <v>119</v>
      </c>
    </row>
    <row r="56" spans="1:2" x14ac:dyDescent="0.3">
      <c r="A56" t="str">
        <f t="shared" si="3"/>
        <v>x</v>
      </c>
      <c r="B56">
        <f t="shared" si="1"/>
        <v>120</v>
      </c>
    </row>
    <row r="57" spans="1:2" x14ac:dyDescent="0.3">
      <c r="A57" t="str">
        <f t="shared" si="3"/>
        <v>y</v>
      </c>
      <c r="B57">
        <f t="shared" si="1"/>
        <v>121</v>
      </c>
    </row>
    <row r="58" spans="1:2" x14ac:dyDescent="0.3">
      <c r="A58" t="str">
        <f t="shared" si="3"/>
        <v>z</v>
      </c>
      <c r="B58">
        <f t="shared" si="1"/>
        <v>122</v>
      </c>
    </row>
    <row r="59" spans="1:2" x14ac:dyDescent="0.3">
      <c r="A59" t="str">
        <f t="shared" si="3"/>
        <v>{</v>
      </c>
      <c r="B59">
        <f t="shared" si="1"/>
        <v>123</v>
      </c>
    </row>
    <row r="60" spans="1:2" x14ac:dyDescent="0.3">
      <c r="A60" t="str">
        <f t="shared" si="3"/>
        <v>|</v>
      </c>
      <c r="B60">
        <f t="shared" si="1"/>
        <v>124</v>
      </c>
    </row>
    <row r="61" spans="1:2" x14ac:dyDescent="0.3">
      <c r="A61" t="str">
        <f t="shared" si="3"/>
        <v>}</v>
      </c>
      <c r="B61">
        <f t="shared" si="1"/>
        <v>125</v>
      </c>
    </row>
    <row r="62" spans="1:2" x14ac:dyDescent="0.3">
      <c r="A62" t="str">
        <f t="shared" si="3"/>
        <v>~</v>
      </c>
      <c r="B62">
        <f t="shared" si="1"/>
        <v>126</v>
      </c>
    </row>
    <row r="63" spans="1:2" x14ac:dyDescent="0.3">
      <c r="A63" t="str">
        <f t="shared" si="3"/>
        <v></v>
      </c>
      <c r="B63">
        <f t="shared" si="1"/>
        <v>127</v>
      </c>
    </row>
    <row r="64" spans="1:2" x14ac:dyDescent="0.3">
      <c r="A64" t="str">
        <f t="shared" si="3"/>
        <v>€</v>
      </c>
      <c r="B64">
        <f t="shared" si="1"/>
        <v>128</v>
      </c>
    </row>
    <row r="65" spans="1:2" x14ac:dyDescent="0.3">
      <c r="A65" t="str">
        <f t="shared" si="3"/>
        <v></v>
      </c>
      <c r="B65">
        <f t="shared" si="1"/>
        <v>129</v>
      </c>
    </row>
    <row r="66" spans="1:2" x14ac:dyDescent="0.3">
      <c r="A66" t="str">
        <f t="shared" si="3"/>
        <v>‚</v>
      </c>
      <c r="B66">
        <f t="shared" si="1"/>
        <v>130</v>
      </c>
    </row>
    <row r="67" spans="1:2" x14ac:dyDescent="0.3">
      <c r="A67" t="str">
        <f t="shared" si="3"/>
        <v>ƒ</v>
      </c>
      <c r="B67">
        <f t="shared" si="1"/>
        <v>131</v>
      </c>
    </row>
    <row r="68" spans="1:2" x14ac:dyDescent="0.3">
      <c r="A68" t="str">
        <f t="shared" si="3"/>
        <v>„</v>
      </c>
      <c r="B68">
        <f t="shared" si="1"/>
        <v>132</v>
      </c>
    </row>
    <row r="69" spans="1:2" x14ac:dyDescent="0.3">
      <c r="A69" t="str">
        <f t="shared" si="3"/>
        <v>…</v>
      </c>
      <c r="B69">
        <f t="shared" ref="B69:B84" si="4">ROW()+64</f>
        <v>133</v>
      </c>
    </row>
    <row r="70" spans="1:2" x14ac:dyDescent="0.3">
      <c r="A70" t="str">
        <f t="shared" si="3"/>
        <v>†</v>
      </c>
      <c r="B70">
        <f t="shared" si="4"/>
        <v>134</v>
      </c>
    </row>
    <row r="71" spans="1:2" x14ac:dyDescent="0.3">
      <c r="A71" t="str">
        <f t="shared" si="3"/>
        <v>‡</v>
      </c>
      <c r="B71">
        <f t="shared" si="4"/>
        <v>135</v>
      </c>
    </row>
    <row r="72" spans="1:2" x14ac:dyDescent="0.3">
      <c r="A72" t="str">
        <f>CHAR(ROW()+64)</f>
        <v>ˆ</v>
      </c>
      <c r="B72">
        <f t="shared" si="4"/>
        <v>136</v>
      </c>
    </row>
    <row r="73" spans="1:2" x14ac:dyDescent="0.3">
      <c r="A73" t="str">
        <f t="shared" ref="A73:A84" si="5">CHAR(ROW()+64)</f>
        <v>‰</v>
      </c>
      <c r="B73">
        <f t="shared" si="4"/>
        <v>137</v>
      </c>
    </row>
    <row r="74" spans="1:2" x14ac:dyDescent="0.3">
      <c r="A74" t="str">
        <f t="shared" si="5"/>
        <v>Š</v>
      </c>
      <c r="B74">
        <f t="shared" si="4"/>
        <v>138</v>
      </c>
    </row>
    <row r="75" spans="1:2" x14ac:dyDescent="0.3">
      <c r="A75" t="str">
        <f t="shared" si="5"/>
        <v>‹</v>
      </c>
      <c r="B75">
        <f t="shared" si="4"/>
        <v>139</v>
      </c>
    </row>
    <row r="76" spans="1:2" x14ac:dyDescent="0.3">
      <c r="A76" t="str">
        <f t="shared" si="5"/>
        <v>Œ</v>
      </c>
      <c r="B76">
        <f t="shared" si="4"/>
        <v>140</v>
      </c>
    </row>
    <row r="77" spans="1:2" x14ac:dyDescent="0.3">
      <c r="A77" t="str">
        <f t="shared" si="5"/>
        <v></v>
      </c>
      <c r="B77">
        <f t="shared" si="4"/>
        <v>141</v>
      </c>
    </row>
    <row r="78" spans="1:2" x14ac:dyDescent="0.3">
      <c r="A78" t="str">
        <f t="shared" si="5"/>
        <v>Ž</v>
      </c>
      <c r="B78">
        <f t="shared" si="4"/>
        <v>142</v>
      </c>
    </row>
    <row r="79" spans="1:2" x14ac:dyDescent="0.3">
      <c r="A79" t="str">
        <f t="shared" si="5"/>
        <v></v>
      </c>
      <c r="B79">
        <f t="shared" si="4"/>
        <v>143</v>
      </c>
    </row>
    <row r="80" spans="1:2" x14ac:dyDescent="0.3">
      <c r="A80" t="str">
        <f t="shared" si="5"/>
        <v></v>
      </c>
      <c r="B80">
        <f t="shared" si="4"/>
        <v>144</v>
      </c>
    </row>
    <row r="81" spans="1:2" x14ac:dyDescent="0.3">
      <c r="A81" t="str">
        <f t="shared" si="5"/>
        <v>‘</v>
      </c>
      <c r="B81">
        <f t="shared" si="4"/>
        <v>145</v>
      </c>
    </row>
    <row r="82" spans="1:2" x14ac:dyDescent="0.3">
      <c r="A82" t="str">
        <f t="shared" si="5"/>
        <v>’</v>
      </c>
      <c r="B82">
        <f t="shared" si="4"/>
        <v>146</v>
      </c>
    </row>
    <row r="83" spans="1:2" x14ac:dyDescent="0.3">
      <c r="A83" t="str">
        <f t="shared" si="5"/>
        <v>“</v>
      </c>
      <c r="B83">
        <f t="shared" si="4"/>
        <v>147</v>
      </c>
    </row>
    <row r="84" spans="1:2" x14ac:dyDescent="0.3">
      <c r="A84" t="str">
        <f t="shared" si="5"/>
        <v>”</v>
      </c>
      <c r="B84">
        <f t="shared" si="4"/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9139-5B27-4417-A6D9-23A353C79652}">
  <dimension ref="A1:J9"/>
  <sheetViews>
    <sheetView workbookViewId="0">
      <selection activeCell="G10" sqref="G10"/>
    </sheetView>
  </sheetViews>
  <sheetFormatPr defaultRowHeight="14.4" x14ac:dyDescent="0.3"/>
  <cols>
    <col min="3" max="3" width="10.21875" customWidth="1"/>
    <col min="4" max="4" width="10.6640625" customWidth="1"/>
    <col min="9" max="9" width="9.21875" customWidth="1"/>
  </cols>
  <sheetData>
    <row r="1" spans="1:10" x14ac:dyDescent="0.3">
      <c r="A1" t="s">
        <v>15</v>
      </c>
      <c r="B1" t="s">
        <v>3</v>
      </c>
      <c r="C1" t="s">
        <v>18</v>
      </c>
      <c r="D1" t="s">
        <v>19</v>
      </c>
      <c r="G1" t="s">
        <v>22</v>
      </c>
      <c r="H1" t="s">
        <v>40</v>
      </c>
      <c r="I1" t="s">
        <v>41</v>
      </c>
      <c r="J1" t="s">
        <v>42</v>
      </c>
    </row>
    <row r="2" spans="1:10" x14ac:dyDescent="0.3">
      <c r="A2" t="s">
        <v>4</v>
      </c>
      <c r="B2">
        <v>60</v>
      </c>
      <c r="C2">
        <v>75</v>
      </c>
      <c r="D2" t="s">
        <v>20</v>
      </c>
      <c r="E2" t="b">
        <f>AND(B2&gt;=50,C2&gt;=75)</f>
        <v>1</v>
      </c>
      <c r="F2" t="e" cm="1">
        <f t="array" aca="1" ref="F2" ca="1">ANDIF(D2="CSE",B2&gt;=70)</f>
        <v>#NAME?</v>
      </c>
      <c r="G2" t="str">
        <f>IF(AND(B2&gt;=50,C2&gt;=75),"Pass","Fail")</f>
        <v>Pass</v>
      </c>
    </row>
    <row r="3" spans="1:10" x14ac:dyDescent="0.3">
      <c r="A3" t="s">
        <v>5</v>
      </c>
      <c r="B3">
        <v>70</v>
      </c>
      <c r="C3">
        <v>60</v>
      </c>
      <c r="D3" t="s">
        <v>21</v>
      </c>
      <c r="E3" t="b">
        <f t="shared" ref="E3:E5" si="0">AND(B3&gt;=50,C3&gt;=75)</f>
        <v>0</v>
      </c>
      <c r="G3" t="str">
        <f t="shared" ref="G3:G5" si="1">IF(AND(B3&gt;=50,C3&gt;=75),"Pass","Fail")</f>
        <v>Fail</v>
      </c>
    </row>
    <row r="4" spans="1:10" x14ac:dyDescent="0.3">
      <c r="A4" t="s">
        <v>6</v>
      </c>
      <c r="B4" t="s">
        <v>16</v>
      </c>
      <c r="C4">
        <v>90</v>
      </c>
      <c r="D4" t="s">
        <v>20</v>
      </c>
      <c r="E4" t="b">
        <f t="shared" si="0"/>
        <v>1</v>
      </c>
      <c r="G4" t="str">
        <f t="shared" si="1"/>
        <v>Pass</v>
      </c>
    </row>
    <row r="5" spans="1:10" x14ac:dyDescent="0.3">
      <c r="A5" t="s">
        <v>7</v>
      </c>
      <c r="B5">
        <v>80</v>
      </c>
      <c r="C5">
        <v>100</v>
      </c>
      <c r="D5" t="s">
        <v>20</v>
      </c>
      <c r="E5" t="b">
        <f t="shared" si="0"/>
        <v>1</v>
      </c>
      <c r="G5" t="str">
        <f t="shared" si="1"/>
        <v>Pass</v>
      </c>
    </row>
    <row r="6" spans="1:10" x14ac:dyDescent="0.3">
      <c r="A6" s="16" t="s">
        <v>17</v>
      </c>
      <c r="B6">
        <f>AVERAGE(B2:B5)</f>
        <v>70</v>
      </c>
    </row>
    <row r="7" spans="1:10" x14ac:dyDescent="0.3">
      <c r="A7" t="s">
        <v>108</v>
      </c>
      <c r="B7">
        <f>COUNT(B2:B6)</f>
        <v>4</v>
      </c>
    </row>
    <row r="8" spans="1:10" x14ac:dyDescent="0.3">
      <c r="A8" t="s">
        <v>109</v>
      </c>
      <c r="B8">
        <f>COUNTA(B2:B6)</f>
        <v>5</v>
      </c>
    </row>
    <row r="9" spans="1:10" x14ac:dyDescent="0.3">
      <c r="A9" t="s">
        <v>110</v>
      </c>
      <c r="B9">
        <f>COUNTIF(B2:B6,"Absent")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30B5-ACE7-4BA0-871F-4EE3CF3CDB99}">
  <dimension ref="A1:U33"/>
  <sheetViews>
    <sheetView workbookViewId="0">
      <selection activeCell="I15" sqref="I15"/>
    </sheetView>
  </sheetViews>
  <sheetFormatPr defaultRowHeight="14.4" x14ac:dyDescent="0.3"/>
  <cols>
    <col min="1" max="1" width="15.109375" customWidth="1"/>
    <col min="3" max="3" width="11.21875" customWidth="1"/>
    <col min="4" max="4" width="46.44140625" customWidth="1"/>
    <col min="17" max="17" width="10" customWidth="1"/>
    <col min="19" max="19" width="13" customWidth="1"/>
    <col min="21" max="21" width="14.5546875" customWidth="1"/>
  </cols>
  <sheetData>
    <row r="1" spans="1:21" x14ac:dyDescent="0.3">
      <c r="A1" s="10" t="s">
        <v>23</v>
      </c>
      <c r="B1" s="11" t="s">
        <v>24</v>
      </c>
      <c r="C1" s="11" t="s">
        <v>25</v>
      </c>
      <c r="D1" s="11" t="s">
        <v>26</v>
      </c>
      <c r="E1" s="17" t="s">
        <v>43</v>
      </c>
      <c r="G1" s="10" t="s">
        <v>44</v>
      </c>
      <c r="H1" s="11" t="s">
        <v>45</v>
      </c>
      <c r="I1" s="11" t="s">
        <v>46</v>
      </c>
      <c r="J1" s="11" t="s">
        <v>47</v>
      </c>
      <c r="K1" s="11" t="s">
        <v>48</v>
      </c>
      <c r="L1" s="17" t="s">
        <v>49</v>
      </c>
      <c r="N1" s="10" t="s">
        <v>23</v>
      </c>
      <c r="O1" s="11" t="s">
        <v>24</v>
      </c>
      <c r="P1" s="11" t="s">
        <v>25</v>
      </c>
      <c r="Q1" s="5"/>
      <c r="R1" s="5"/>
      <c r="S1" s="6"/>
    </row>
    <row r="2" spans="1:21" x14ac:dyDescent="0.3">
      <c r="A2" s="12" t="s">
        <v>27</v>
      </c>
      <c r="B2" s="3" t="s">
        <v>28</v>
      </c>
      <c r="C2" s="3">
        <v>45</v>
      </c>
      <c r="D2" s="3" t="b">
        <f>AND(B2="fire",C2&gt;70)</f>
        <v>0</v>
      </c>
      <c r="E2" s="13" t="str">
        <f>IF(AND(B2="fire",C2&gt;70),"YES","NO")</f>
        <v>NO</v>
      </c>
      <c r="G2" s="12" t="s">
        <v>50</v>
      </c>
      <c r="H2" s="3">
        <v>10</v>
      </c>
      <c r="I2" s="3">
        <v>4</v>
      </c>
      <c r="J2" s="3" t="s">
        <v>56</v>
      </c>
      <c r="K2" s="3">
        <v>1</v>
      </c>
      <c r="L2" s="13">
        <f>AVERAGE(H2:K2)</f>
        <v>5</v>
      </c>
      <c r="N2" s="12" t="s">
        <v>57</v>
      </c>
      <c r="O2" s="3" t="s">
        <v>28</v>
      </c>
      <c r="P2" s="3">
        <v>45</v>
      </c>
      <c r="R2" s="3" t="s">
        <v>58</v>
      </c>
      <c r="S2" s="13" t="s">
        <v>59</v>
      </c>
    </row>
    <row r="3" spans="1:21" x14ac:dyDescent="0.3">
      <c r="A3" s="12" t="s">
        <v>29</v>
      </c>
      <c r="B3" s="3" t="s">
        <v>28</v>
      </c>
      <c r="C3" s="3">
        <v>60</v>
      </c>
      <c r="D3" s="3" t="b">
        <f t="shared" ref="D3:D10" si="0">AND(B3="fire",C3&gt;70)</f>
        <v>0</v>
      </c>
      <c r="E3" s="13" t="str">
        <f t="shared" ref="E3:E10" si="1">IF(AND(B3="fire",C3&gt;70),"YES","NO")</f>
        <v>NO</v>
      </c>
      <c r="G3" s="12" t="s">
        <v>51</v>
      </c>
      <c r="H3" s="3">
        <v>12</v>
      </c>
      <c r="I3" s="3">
        <v>3</v>
      </c>
      <c r="J3" s="3">
        <v>0</v>
      </c>
      <c r="K3" s="3">
        <v>1</v>
      </c>
      <c r="L3" s="13">
        <f t="shared" ref="L3:L7" si="2">AVERAGE(H3:K3)</f>
        <v>4</v>
      </c>
      <c r="N3" s="12" t="s">
        <v>60</v>
      </c>
      <c r="O3" s="3" t="s">
        <v>28</v>
      </c>
      <c r="P3" s="3">
        <v>60</v>
      </c>
      <c r="R3" s="3" t="s">
        <v>28</v>
      </c>
      <c r="S3" s="13">
        <f>AVERAGEIF(O2:O10,R3,P2:P10)</f>
        <v>61.666666666666664</v>
      </c>
    </row>
    <row r="4" spans="1:21" x14ac:dyDescent="0.3">
      <c r="A4" s="12" t="s">
        <v>30</v>
      </c>
      <c r="B4" s="3" t="s">
        <v>28</v>
      </c>
      <c r="C4" s="3">
        <v>80</v>
      </c>
      <c r="D4" s="3" t="b">
        <f t="shared" si="0"/>
        <v>0</v>
      </c>
      <c r="E4" s="13" t="str">
        <f t="shared" si="1"/>
        <v>NO</v>
      </c>
      <c r="G4" s="12" t="s">
        <v>52</v>
      </c>
      <c r="H4" s="3">
        <v>15</v>
      </c>
      <c r="I4" s="3">
        <v>1</v>
      </c>
      <c r="J4" s="3" t="s">
        <v>56</v>
      </c>
      <c r="K4" s="3">
        <v>1</v>
      </c>
      <c r="L4" s="13">
        <f t="shared" si="2"/>
        <v>5.666666666666667</v>
      </c>
      <c r="N4" s="12" t="s">
        <v>61</v>
      </c>
      <c r="O4" s="3" t="s">
        <v>28</v>
      </c>
      <c r="P4" s="3">
        <v>80</v>
      </c>
      <c r="R4" s="3" t="s">
        <v>32</v>
      </c>
      <c r="S4" s="13">
        <f>AVERAGEIF(O2:O10,R4,P2:P10)</f>
        <v>81.666666666666671</v>
      </c>
    </row>
    <row r="5" spans="1:21" x14ac:dyDescent="0.3">
      <c r="A5" s="12" t="s">
        <v>31</v>
      </c>
      <c r="B5" s="3" t="s">
        <v>32</v>
      </c>
      <c r="C5" s="3">
        <v>65</v>
      </c>
      <c r="D5" s="3" t="b">
        <f t="shared" si="0"/>
        <v>0</v>
      </c>
      <c r="E5" s="13" t="str">
        <f t="shared" si="1"/>
        <v>NO</v>
      </c>
      <c r="G5" s="12" t="s">
        <v>53</v>
      </c>
      <c r="H5" s="3">
        <v>4</v>
      </c>
      <c r="I5" s="3">
        <v>2</v>
      </c>
      <c r="J5" s="3">
        <v>6</v>
      </c>
      <c r="K5" s="3">
        <v>0</v>
      </c>
      <c r="L5" s="13">
        <f t="shared" si="2"/>
        <v>3</v>
      </c>
      <c r="N5" s="12" t="s">
        <v>62</v>
      </c>
      <c r="O5" s="3" t="s">
        <v>32</v>
      </c>
      <c r="P5" s="3">
        <v>65</v>
      </c>
      <c r="R5" s="3" t="s">
        <v>36</v>
      </c>
      <c r="S5" s="13">
        <f>AVERAGEIF(O2:O10,R5,P2:P10)</f>
        <v>59.666666666666664</v>
      </c>
    </row>
    <row r="6" spans="1:21" x14ac:dyDescent="0.3">
      <c r="A6" s="12" t="s">
        <v>33</v>
      </c>
      <c r="B6" s="3" t="s">
        <v>32</v>
      </c>
      <c r="C6" s="3">
        <v>80</v>
      </c>
      <c r="D6" s="3" t="b">
        <f t="shared" si="0"/>
        <v>1</v>
      </c>
      <c r="E6" s="13" t="str">
        <f t="shared" si="1"/>
        <v>YES</v>
      </c>
      <c r="G6" s="12" t="s">
        <v>54</v>
      </c>
      <c r="H6" s="3" t="s">
        <v>56</v>
      </c>
      <c r="I6" s="3">
        <v>4</v>
      </c>
      <c r="J6" s="3">
        <v>1</v>
      </c>
      <c r="K6" s="3">
        <v>1</v>
      </c>
      <c r="L6" s="13">
        <f t="shared" si="2"/>
        <v>2</v>
      </c>
      <c r="N6" s="12" t="s">
        <v>63</v>
      </c>
      <c r="O6" s="3" t="s">
        <v>32</v>
      </c>
      <c r="P6" s="3">
        <v>80</v>
      </c>
      <c r="S6" s="7"/>
    </row>
    <row r="7" spans="1:21" ht="15" thickBot="1" x14ac:dyDescent="0.35">
      <c r="A7" s="12" t="s">
        <v>34</v>
      </c>
      <c r="B7" s="3" t="s">
        <v>32</v>
      </c>
      <c r="C7" s="3">
        <v>100</v>
      </c>
      <c r="D7" s="3" t="b">
        <f t="shared" si="0"/>
        <v>1</v>
      </c>
      <c r="E7" s="13" t="str">
        <f t="shared" si="1"/>
        <v>YES</v>
      </c>
      <c r="G7" s="14" t="s">
        <v>55</v>
      </c>
      <c r="H7" s="15">
        <v>9</v>
      </c>
      <c r="I7" s="15">
        <v>2</v>
      </c>
      <c r="J7" s="15">
        <v>1</v>
      </c>
      <c r="K7" s="15">
        <v>0</v>
      </c>
      <c r="L7" s="20">
        <f t="shared" si="2"/>
        <v>3</v>
      </c>
      <c r="N7" s="12" t="s">
        <v>64</v>
      </c>
      <c r="O7" s="3" t="s">
        <v>32</v>
      </c>
      <c r="P7" s="3">
        <v>100</v>
      </c>
      <c r="S7" s="7"/>
    </row>
    <row r="8" spans="1:21" x14ac:dyDescent="0.3">
      <c r="A8" s="12" t="s">
        <v>35</v>
      </c>
      <c r="B8" s="3" t="s">
        <v>36</v>
      </c>
      <c r="C8" s="3">
        <v>43</v>
      </c>
      <c r="D8" s="3" t="b">
        <f t="shared" si="0"/>
        <v>0</v>
      </c>
      <c r="E8" s="13" t="str">
        <f t="shared" si="1"/>
        <v>NO</v>
      </c>
      <c r="G8" t="s">
        <v>39</v>
      </c>
      <c r="N8" s="12" t="s">
        <v>65</v>
      </c>
      <c r="O8" s="3" t="s">
        <v>36</v>
      </c>
      <c r="P8" s="3">
        <v>43</v>
      </c>
      <c r="S8" s="7"/>
    </row>
    <row r="9" spans="1:21" x14ac:dyDescent="0.3">
      <c r="A9" s="12" t="s">
        <v>37</v>
      </c>
      <c r="B9" s="3" t="s">
        <v>36</v>
      </c>
      <c r="C9" s="3">
        <v>58</v>
      </c>
      <c r="D9" s="3" t="b">
        <f t="shared" si="0"/>
        <v>0</v>
      </c>
      <c r="E9" s="13" t="str">
        <f t="shared" si="1"/>
        <v>NO</v>
      </c>
      <c r="N9" s="12" t="s">
        <v>66</v>
      </c>
      <c r="O9" s="3" t="s">
        <v>36</v>
      </c>
      <c r="P9" s="3">
        <v>58</v>
      </c>
      <c r="S9" s="7"/>
    </row>
    <row r="10" spans="1:21" ht="15" thickBot="1" x14ac:dyDescent="0.35">
      <c r="A10" s="14" t="s">
        <v>38</v>
      </c>
      <c r="B10" s="15" t="s">
        <v>36</v>
      </c>
      <c r="C10" s="15">
        <v>78</v>
      </c>
      <c r="D10" s="15" t="b">
        <f t="shared" si="0"/>
        <v>0</v>
      </c>
      <c r="E10" s="20" t="str">
        <f t="shared" si="1"/>
        <v>NO</v>
      </c>
      <c r="N10" s="14" t="s">
        <v>67</v>
      </c>
      <c r="O10" s="15" t="s">
        <v>36</v>
      </c>
      <c r="P10" s="15">
        <v>78</v>
      </c>
      <c r="Q10" s="8"/>
      <c r="R10" s="8"/>
      <c r="S10" s="9"/>
    </row>
    <row r="11" spans="1:21" ht="15" thickBot="1" x14ac:dyDescent="0.35">
      <c r="A11" t="s">
        <v>39</v>
      </c>
      <c r="N11" t="s">
        <v>39</v>
      </c>
    </row>
    <row r="12" spans="1:21" x14ac:dyDescent="0.3">
      <c r="A12" s="10" t="s">
        <v>23</v>
      </c>
      <c r="B12" s="11" t="s">
        <v>24</v>
      </c>
      <c r="C12" s="11" t="s">
        <v>78</v>
      </c>
      <c r="D12" s="17" t="s">
        <v>87</v>
      </c>
      <c r="N12" s="10" t="s">
        <v>23</v>
      </c>
      <c r="O12" s="11" t="s">
        <v>24</v>
      </c>
      <c r="P12" s="11" t="s">
        <v>68</v>
      </c>
      <c r="Q12" s="11" t="s">
        <v>69</v>
      </c>
      <c r="R12" s="5"/>
      <c r="S12" s="5"/>
      <c r="T12" s="5"/>
      <c r="U12" s="6"/>
    </row>
    <row r="13" spans="1:21" x14ac:dyDescent="0.3">
      <c r="A13" s="12" t="s">
        <v>88</v>
      </c>
      <c r="B13" s="3" t="s">
        <v>79</v>
      </c>
      <c r="C13" s="3">
        <v>305</v>
      </c>
      <c r="D13" s="13" t="str">
        <f>_xlfn.CONCAT("The total stats of ",A13," with type ",B13," are ",C13)</f>
        <v>The total stats of Mankey with type Fighting are 305</v>
      </c>
      <c r="N13" s="12" t="s">
        <v>57</v>
      </c>
      <c r="O13" s="3" t="s">
        <v>28</v>
      </c>
      <c r="P13" s="3">
        <v>49</v>
      </c>
      <c r="Q13" s="3">
        <v>1</v>
      </c>
      <c r="S13" s="3" t="s">
        <v>58</v>
      </c>
      <c r="T13" s="3" t="s">
        <v>70</v>
      </c>
      <c r="U13" s="13" t="s">
        <v>71</v>
      </c>
    </row>
    <row r="14" spans="1:21" x14ac:dyDescent="0.3">
      <c r="A14" s="12" t="s">
        <v>91</v>
      </c>
      <c r="B14" s="3" t="s">
        <v>36</v>
      </c>
      <c r="C14" s="3">
        <v>510</v>
      </c>
      <c r="D14" s="13" t="str">
        <f t="shared" ref="D14:D32" si="3">_xlfn.CONCAT("The total stats of ",A14," with type ",B14," are ",C14)</f>
        <v>The total stats of Poliwrath with type Water are 510</v>
      </c>
      <c r="N14" s="12" t="s">
        <v>60</v>
      </c>
      <c r="O14" s="3" t="s">
        <v>28</v>
      </c>
      <c r="P14" s="3">
        <v>63</v>
      </c>
      <c r="Q14" s="3">
        <v>1</v>
      </c>
      <c r="S14" s="3" t="s">
        <v>28</v>
      </c>
      <c r="T14" s="3">
        <v>1</v>
      </c>
      <c r="U14" s="13">
        <f>AVERAGEIFS(P13:P24,O13:O24,S14,Q13:Q24,T14)</f>
        <v>65</v>
      </c>
    </row>
    <row r="15" spans="1:21" x14ac:dyDescent="0.3">
      <c r="A15" s="12" t="s">
        <v>90</v>
      </c>
      <c r="B15" s="3" t="s">
        <v>28</v>
      </c>
      <c r="C15" s="3">
        <v>490</v>
      </c>
      <c r="D15" s="13" t="str">
        <f t="shared" si="3"/>
        <v>The total stats of Victreebel with type Grass are 490</v>
      </c>
      <c r="N15" s="12" t="s">
        <v>61</v>
      </c>
      <c r="O15" s="3" t="s">
        <v>28</v>
      </c>
      <c r="P15" s="3">
        <v>83</v>
      </c>
      <c r="Q15" s="3">
        <v>1</v>
      </c>
      <c r="S15" s="3" t="s">
        <v>32</v>
      </c>
      <c r="T15" s="3">
        <v>1</v>
      </c>
      <c r="U15" s="13">
        <f>AVERAGEIFS(P13:P24,O13:O24,S15,Q13:Q24,T15)</f>
        <v>59.666666666666664</v>
      </c>
    </row>
    <row r="16" spans="1:21" x14ac:dyDescent="0.3">
      <c r="A16" s="18" t="s">
        <v>89</v>
      </c>
      <c r="B16" s="3" t="s">
        <v>36</v>
      </c>
      <c r="C16" s="3">
        <v>335</v>
      </c>
      <c r="D16" s="13" t="str">
        <f t="shared" si="3"/>
        <v>The total stats of Tentacool with type Water are 335</v>
      </c>
      <c r="N16" s="12" t="s">
        <v>62</v>
      </c>
      <c r="O16" s="3" t="s">
        <v>32</v>
      </c>
      <c r="P16" s="3">
        <v>43</v>
      </c>
      <c r="Q16" s="3">
        <v>1</v>
      </c>
      <c r="S16" s="3" t="s">
        <v>28</v>
      </c>
      <c r="T16" s="3">
        <v>2</v>
      </c>
      <c r="U16" s="13">
        <f>AVERAGEIFS(P13:P24,O13:O24,S16,Q13:Q24,T16)</f>
        <v>81.666666666666671</v>
      </c>
    </row>
    <row r="17" spans="1:21" x14ac:dyDescent="0.3">
      <c r="A17" s="18" t="s">
        <v>92</v>
      </c>
      <c r="B17" s="3" t="s">
        <v>80</v>
      </c>
      <c r="C17" s="3">
        <v>465</v>
      </c>
      <c r="D17" s="13" t="str">
        <f t="shared" si="3"/>
        <v>The total stats of Magneton with type Electric are 465</v>
      </c>
      <c r="N17" s="12" t="s">
        <v>63</v>
      </c>
      <c r="O17" s="3" t="s">
        <v>32</v>
      </c>
      <c r="P17" s="3">
        <v>58</v>
      </c>
      <c r="Q17" s="3">
        <v>1</v>
      </c>
      <c r="S17" s="3" t="s">
        <v>32</v>
      </c>
      <c r="T17" s="3">
        <v>2</v>
      </c>
      <c r="U17" s="13">
        <f>AVERAGEIFS(P13:P24,O13:O24,S17,Q13:Q24,T17)</f>
        <v>59.666666666666664</v>
      </c>
    </row>
    <row r="18" spans="1:21" x14ac:dyDescent="0.3">
      <c r="A18" s="18" t="s">
        <v>93</v>
      </c>
      <c r="B18" s="3" t="s">
        <v>36</v>
      </c>
      <c r="C18" s="3">
        <v>475</v>
      </c>
      <c r="D18" s="13" t="str">
        <f t="shared" si="3"/>
        <v>The total stats of Dewgong with type Water are 475</v>
      </c>
      <c r="N18" s="12" t="s">
        <v>64</v>
      </c>
      <c r="O18" s="3" t="s">
        <v>32</v>
      </c>
      <c r="P18" s="3">
        <v>78</v>
      </c>
      <c r="Q18" s="3">
        <v>1</v>
      </c>
      <c r="U18" s="7"/>
    </row>
    <row r="19" spans="1:21" x14ac:dyDescent="0.3">
      <c r="A19" s="18" t="s">
        <v>94</v>
      </c>
      <c r="B19" s="3" t="s">
        <v>36</v>
      </c>
      <c r="C19" s="3">
        <v>525</v>
      </c>
      <c r="D19" s="13" t="str">
        <f t="shared" si="3"/>
        <v>The total stats of Cloyster with type Water are 525</v>
      </c>
      <c r="N19" s="12" t="s">
        <v>72</v>
      </c>
      <c r="O19" s="3" t="s">
        <v>28</v>
      </c>
      <c r="P19" s="3">
        <v>65</v>
      </c>
      <c r="Q19" s="3">
        <v>2</v>
      </c>
      <c r="U19" s="7"/>
    </row>
    <row r="20" spans="1:21" x14ac:dyDescent="0.3">
      <c r="A20" s="18" t="s">
        <v>95</v>
      </c>
      <c r="B20" s="3" t="s">
        <v>81</v>
      </c>
      <c r="C20" s="3">
        <v>385</v>
      </c>
      <c r="D20" s="13" t="str">
        <f t="shared" si="3"/>
        <v>The total stats of Onix with type Rock are 385</v>
      </c>
      <c r="N20" s="12" t="s">
        <v>73</v>
      </c>
      <c r="O20" s="3" t="s">
        <v>28</v>
      </c>
      <c r="P20" s="3">
        <v>80</v>
      </c>
      <c r="Q20" s="3">
        <v>2</v>
      </c>
      <c r="U20" s="7"/>
    </row>
    <row r="21" spans="1:21" x14ac:dyDescent="0.3">
      <c r="A21" s="18" t="s">
        <v>96</v>
      </c>
      <c r="B21" s="3" t="s">
        <v>82</v>
      </c>
      <c r="C21" s="3">
        <v>420</v>
      </c>
      <c r="D21" s="13" t="str">
        <f t="shared" si="3"/>
        <v>The total stats of Dragonair with type Dragon are 420</v>
      </c>
      <c r="N21" s="12" t="s">
        <v>74</v>
      </c>
      <c r="O21" s="3" t="s">
        <v>28</v>
      </c>
      <c r="P21" s="3">
        <v>100</v>
      </c>
      <c r="Q21" s="3">
        <v>2</v>
      </c>
      <c r="U21" s="7"/>
    </row>
    <row r="22" spans="1:21" x14ac:dyDescent="0.3">
      <c r="A22" s="18" t="s">
        <v>97</v>
      </c>
      <c r="B22" s="3" t="s">
        <v>83</v>
      </c>
      <c r="C22" s="3">
        <v>349</v>
      </c>
      <c r="D22" s="13" t="str">
        <f t="shared" si="3"/>
        <v>The total stats of Pidgeotto with type Normal are 349</v>
      </c>
      <c r="N22" s="12" t="s">
        <v>75</v>
      </c>
      <c r="O22" s="3" t="s">
        <v>32</v>
      </c>
      <c r="P22" s="3">
        <v>43</v>
      </c>
      <c r="Q22" s="3">
        <v>2</v>
      </c>
      <c r="U22" s="7"/>
    </row>
    <row r="23" spans="1:21" x14ac:dyDescent="0.3">
      <c r="A23" s="18" t="s">
        <v>98</v>
      </c>
      <c r="B23" s="3" t="s">
        <v>83</v>
      </c>
      <c r="C23" s="3">
        <v>253</v>
      </c>
      <c r="D23" s="13" t="str">
        <f t="shared" si="3"/>
        <v>The total stats of Rattata with type Normal are 253</v>
      </c>
      <c r="N23" s="12" t="s">
        <v>76</v>
      </c>
      <c r="O23" s="3" t="s">
        <v>32</v>
      </c>
      <c r="P23" s="3">
        <v>58</v>
      </c>
      <c r="Q23" s="3">
        <v>2</v>
      </c>
      <c r="U23" s="7"/>
    </row>
    <row r="24" spans="1:21" ht="15" thickBot="1" x14ac:dyDescent="0.35">
      <c r="A24" s="18" t="s">
        <v>99</v>
      </c>
      <c r="B24" s="3" t="s">
        <v>84</v>
      </c>
      <c r="C24" s="3">
        <v>395</v>
      </c>
      <c r="D24" s="13" t="str">
        <f t="shared" si="3"/>
        <v>The total stats of Beedrill with type Bug are 395</v>
      </c>
      <c r="N24" s="14" t="s">
        <v>77</v>
      </c>
      <c r="O24" s="15" t="s">
        <v>32</v>
      </c>
      <c r="P24" s="15">
        <v>78</v>
      </c>
      <c r="Q24" s="15">
        <v>2</v>
      </c>
      <c r="R24" s="8"/>
      <c r="S24" s="8"/>
      <c r="T24" s="8"/>
      <c r="U24" s="9"/>
    </row>
    <row r="25" spans="1:21" x14ac:dyDescent="0.3">
      <c r="A25" s="18" t="s">
        <v>100</v>
      </c>
      <c r="B25" s="3" t="s">
        <v>83</v>
      </c>
      <c r="C25" s="3">
        <v>310</v>
      </c>
      <c r="D25" s="13" t="str">
        <f t="shared" si="3"/>
        <v>The total stats of Doduo with type Normal are 310</v>
      </c>
      <c r="N25" t="s">
        <v>39</v>
      </c>
    </row>
    <row r="26" spans="1:21" x14ac:dyDescent="0.3">
      <c r="A26" s="18" t="s">
        <v>101</v>
      </c>
      <c r="B26" s="3" t="s">
        <v>36</v>
      </c>
      <c r="C26" s="3">
        <v>475</v>
      </c>
      <c r="D26" s="13" t="str">
        <f t="shared" si="3"/>
        <v>The total stats of Kingler with type Water are 475</v>
      </c>
    </row>
    <row r="27" spans="1:21" x14ac:dyDescent="0.3">
      <c r="A27" s="18" t="s">
        <v>102</v>
      </c>
      <c r="B27" s="3" t="s">
        <v>85</v>
      </c>
      <c r="C27" s="3">
        <v>505</v>
      </c>
      <c r="D27" s="13" t="str">
        <f t="shared" si="3"/>
        <v>The total stats of Nidoqueen with type Poison are 505</v>
      </c>
    </row>
    <row r="28" spans="1:21" x14ac:dyDescent="0.3">
      <c r="A28" s="18" t="s">
        <v>103</v>
      </c>
      <c r="B28" s="3" t="s">
        <v>79</v>
      </c>
      <c r="C28" s="3">
        <v>455</v>
      </c>
      <c r="D28" s="13" t="str">
        <f t="shared" si="3"/>
        <v>The total stats of Hitmonchan with type Fighting are 455</v>
      </c>
    </row>
    <row r="29" spans="1:21" x14ac:dyDescent="0.3">
      <c r="A29" s="18" t="s">
        <v>104</v>
      </c>
      <c r="B29" s="3" t="s">
        <v>32</v>
      </c>
      <c r="C29" s="3">
        <v>405</v>
      </c>
      <c r="D29" s="13" t="str">
        <f t="shared" si="3"/>
        <v>The total stats of Charmeleon with type Fire are 405</v>
      </c>
    </row>
    <row r="30" spans="1:21" x14ac:dyDescent="0.3">
      <c r="A30" s="18" t="s">
        <v>105</v>
      </c>
      <c r="B30" s="3" t="s">
        <v>85</v>
      </c>
      <c r="C30" s="3">
        <v>438</v>
      </c>
      <c r="D30" s="13" t="str">
        <f t="shared" si="3"/>
        <v>The total stats of Arbok with type Poison are 438</v>
      </c>
    </row>
    <row r="31" spans="1:21" x14ac:dyDescent="0.3">
      <c r="A31" s="18" t="s">
        <v>106</v>
      </c>
      <c r="B31" s="3" t="s">
        <v>86</v>
      </c>
      <c r="C31" s="3">
        <v>310</v>
      </c>
      <c r="D31" s="13" t="str">
        <f t="shared" si="3"/>
        <v>The total stats of Gastly with type Ghost are 310</v>
      </c>
    </row>
    <row r="32" spans="1:21" ht="15" thickBot="1" x14ac:dyDescent="0.35">
      <c r="A32" s="19" t="s">
        <v>107</v>
      </c>
      <c r="B32" s="15" t="s">
        <v>36</v>
      </c>
      <c r="C32" s="15">
        <v>200</v>
      </c>
      <c r="D32" s="20" t="str">
        <f t="shared" si="3"/>
        <v>The total stats of Magikarp with type Water are 200</v>
      </c>
    </row>
    <row r="33" spans="1:1" x14ac:dyDescent="0.3">
      <c r="A33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2FA6F-C22D-4295-992B-53C1E265A39D}">
  <dimension ref="B2:K28"/>
  <sheetViews>
    <sheetView zoomScale="70" zoomScaleNormal="67" workbookViewId="0">
      <selection activeCell="M20" sqref="M20"/>
    </sheetView>
  </sheetViews>
  <sheetFormatPr defaultRowHeight="14.4" x14ac:dyDescent="0.3"/>
  <cols>
    <col min="1" max="1" width="10.33203125" customWidth="1"/>
    <col min="2" max="2" width="11.77734375" customWidth="1"/>
    <col min="3" max="3" width="13.77734375" customWidth="1"/>
    <col min="4" max="4" width="9.5546875" customWidth="1"/>
    <col min="5" max="5" width="15.109375" customWidth="1"/>
    <col min="6" max="6" width="15.33203125" customWidth="1"/>
    <col min="7" max="7" width="16.21875" customWidth="1"/>
    <col min="8" max="9" width="24.33203125" customWidth="1"/>
    <col min="10" max="10" width="22.33203125" customWidth="1"/>
    <col min="11" max="11" width="33.88671875" customWidth="1"/>
    <col min="12" max="12" width="22.5546875" customWidth="1"/>
    <col min="13" max="13" width="21.44140625" customWidth="1"/>
    <col min="14" max="14" width="18.6640625" customWidth="1"/>
    <col min="15" max="15" width="12.77734375" customWidth="1"/>
  </cols>
  <sheetData>
    <row r="2" spans="2:11" ht="15" thickBot="1" x14ac:dyDescent="0.35"/>
    <row r="3" spans="2:11" x14ac:dyDescent="0.3">
      <c r="C3" s="46" t="s">
        <v>146</v>
      </c>
      <c r="D3" s="47"/>
      <c r="E3" s="47"/>
      <c r="F3" s="48"/>
    </row>
    <row r="4" spans="2:11" ht="14.4" customHeight="1" x14ac:dyDescent="0.3">
      <c r="C4" s="49"/>
      <c r="D4" s="50"/>
      <c r="E4" s="50"/>
      <c r="F4" s="51"/>
    </row>
    <row r="5" spans="2:11" ht="14.4" customHeight="1" thickBot="1" x14ac:dyDescent="0.35">
      <c r="C5" s="52"/>
      <c r="D5" s="53"/>
      <c r="E5" s="53"/>
      <c r="F5" s="54"/>
    </row>
    <row r="6" spans="2:11" ht="15" thickBot="1" x14ac:dyDescent="0.35">
      <c r="C6" s="8"/>
      <c r="D6" s="8"/>
      <c r="E6" s="8"/>
      <c r="F6" s="8"/>
    </row>
    <row r="7" spans="2:11" ht="18" x14ac:dyDescent="0.35">
      <c r="B7" s="22" t="s">
        <v>111</v>
      </c>
      <c r="C7" s="23" t="s">
        <v>112</v>
      </c>
      <c r="D7" s="23" t="s">
        <v>113</v>
      </c>
      <c r="E7" s="23" t="s">
        <v>114</v>
      </c>
      <c r="F7" s="23" t="s">
        <v>115</v>
      </c>
      <c r="G7" s="23" t="s">
        <v>116</v>
      </c>
      <c r="H7" s="23" t="s">
        <v>143</v>
      </c>
      <c r="I7" s="23" t="s">
        <v>144</v>
      </c>
      <c r="J7" s="23" t="s">
        <v>145</v>
      </c>
      <c r="K7" s="24" t="s">
        <v>154</v>
      </c>
    </row>
    <row r="8" spans="2:11" ht="15.6" x14ac:dyDescent="0.3">
      <c r="B8" s="25" t="s">
        <v>117</v>
      </c>
      <c r="C8" s="26" t="s">
        <v>118</v>
      </c>
      <c r="D8" s="27">
        <v>45</v>
      </c>
      <c r="E8" s="26" t="s">
        <v>119</v>
      </c>
      <c r="F8" s="27">
        <v>52000</v>
      </c>
      <c r="G8" s="26" t="s">
        <v>120</v>
      </c>
      <c r="H8" s="28" t="str">
        <f>_xlfn.CONCAT(B8," ",E8)</f>
        <v>P201 Diabetes</v>
      </c>
      <c r="I8" s="28" t="str">
        <f t="shared" ref="I8:I17" si="0">IF(AND(E8="Diabetes", D8&gt;40), "High Risk", "Normal")</f>
        <v>High Risk</v>
      </c>
      <c r="J8" s="28" t="str">
        <f t="shared" ref="J8:J17" si="1">IF(AND(F8&gt;50000, D8&gt;40), "Eligible", "Not Eligible")</f>
        <v>Eligible</v>
      </c>
      <c r="K8" s="42">
        <f>IF(J8="Eligible",F8-20%*F8,F8)</f>
        <v>41600</v>
      </c>
    </row>
    <row r="9" spans="2:11" ht="15.6" x14ac:dyDescent="0.3">
      <c r="B9" s="25" t="s">
        <v>121</v>
      </c>
      <c r="C9" s="26" t="s">
        <v>122</v>
      </c>
      <c r="D9" s="27">
        <v>38</v>
      </c>
      <c r="E9" s="26" t="s">
        <v>123</v>
      </c>
      <c r="F9" s="27">
        <v>12000</v>
      </c>
      <c r="G9" s="26" t="s">
        <v>124</v>
      </c>
      <c r="H9" s="28" t="str">
        <f t="shared" ref="H9:H17" si="2">_xlfn.CONCAT(B9," ",E9)</f>
        <v>P202 Flu</v>
      </c>
      <c r="I9" s="28" t="str">
        <f t="shared" si="0"/>
        <v>Normal</v>
      </c>
      <c r="J9" s="28" t="str">
        <f t="shared" si="1"/>
        <v>Not Eligible</v>
      </c>
      <c r="K9" s="29">
        <f t="shared" ref="K9:K17" si="3">IF(J9="Eligible",F9-20%*F9,F9)</f>
        <v>12000</v>
      </c>
    </row>
    <row r="10" spans="2:11" ht="15.6" x14ac:dyDescent="0.3">
      <c r="B10" s="25" t="s">
        <v>125</v>
      </c>
      <c r="C10" s="26" t="s">
        <v>126</v>
      </c>
      <c r="D10" s="27">
        <v>60</v>
      </c>
      <c r="E10" s="26" t="s">
        <v>119</v>
      </c>
      <c r="F10" s="27">
        <v>68000</v>
      </c>
      <c r="G10" s="26" t="s">
        <v>120</v>
      </c>
      <c r="H10" s="28" t="str">
        <f t="shared" si="2"/>
        <v>P203 Diabetes</v>
      </c>
      <c r="I10" s="28" t="str">
        <f t="shared" si="0"/>
        <v>High Risk</v>
      </c>
      <c r="J10" s="28" t="str">
        <f t="shared" si="1"/>
        <v>Eligible</v>
      </c>
      <c r="K10" s="42">
        <f t="shared" si="3"/>
        <v>54400</v>
      </c>
    </row>
    <row r="11" spans="2:11" ht="15.6" x14ac:dyDescent="0.3">
      <c r="B11" s="25" t="s">
        <v>127</v>
      </c>
      <c r="C11" s="26" t="s">
        <v>128</v>
      </c>
      <c r="D11" s="27">
        <v>52</v>
      </c>
      <c r="E11" s="26" t="s">
        <v>129</v>
      </c>
      <c r="F11" s="27">
        <v>40000</v>
      </c>
      <c r="G11" s="26" t="s">
        <v>124</v>
      </c>
      <c r="H11" s="28" t="str">
        <f t="shared" si="2"/>
        <v>P204 BP</v>
      </c>
      <c r="I11" s="28" t="str">
        <f t="shared" si="0"/>
        <v>Normal</v>
      </c>
      <c r="J11" s="28" t="str">
        <f t="shared" si="1"/>
        <v>Not Eligible</v>
      </c>
      <c r="K11" s="29">
        <f t="shared" si="3"/>
        <v>40000</v>
      </c>
    </row>
    <row r="12" spans="2:11" ht="15.6" x14ac:dyDescent="0.3">
      <c r="B12" s="25" t="s">
        <v>130</v>
      </c>
      <c r="C12" s="26" t="s">
        <v>131</v>
      </c>
      <c r="D12" s="27">
        <v>48</v>
      </c>
      <c r="E12" s="26" t="s">
        <v>119</v>
      </c>
      <c r="F12" s="27">
        <v>55000</v>
      </c>
      <c r="G12" s="26" t="s">
        <v>120</v>
      </c>
      <c r="H12" s="28" t="str">
        <f t="shared" si="2"/>
        <v>P205 Diabetes</v>
      </c>
      <c r="I12" s="28" t="str">
        <f t="shared" si="0"/>
        <v>High Risk</v>
      </c>
      <c r="J12" s="28" t="str">
        <f t="shared" si="1"/>
        <v>Eligible</v>
      </c>
      <c r="K12" s="42">
        <f t="shared" si="3"/>
        <v>44000</v>
      </c>
    </row>
    <row r="13" spans="2:11" ht="15.6" x14ac:dyDescent="0.3">
      <c r="B13" s="25" t="s">
        <v>132</v>
      </c>
      <c r="C13" s="26" t="s">
        <v>133</v>
      </c>
      <c r="D13" s="27">
        <v>34</v>
      </c>
      <c r="E13" s="26" t="s">
        <v>123</v>
      </c>
      <c r="F13" s="27">
        <v>15000</v>
      </c>
      <c r="G13" s="26" t="s">
        <v>124</v>
      </c>
      <c r="H13" s="28" t="str">
        <f t="shared" si="2"/>
        <v>P206 Flu</v>
      </c>
      <c r="I13" s="28" t="str">
        <f t="shared" si="0"/>
        <v>Normal</v>
      </c>
      <c r="J13" s="28" t="str">
        <f t="shared" si="1"/>
        <v>Not Eligible</v>
      </c>
      <c r="K13" s="29">
        <f t="shared" si="3"/>
        <v>15000</v>
      </c>
    </row>
    <row r="14" spans="2:11" ht="15.6" x14ac:dyDescent="0.3">
      <c r="B14" s="25" t="s">
        <v>134</v>
      </c>
      <c r="C14" s="26" t="s">
        <v>135</v>
      </c>
      <c r="D14" s="27">
        <v>67</v>
      </c>
      <c r="E14" s="26" t="s">
        <v>136</v>
      </c>
      <c r="F14" s="27">
        <v>95000</v>
      </c>
      <c r="G14" s="26" t="s">
        <v>120</v>
      </c>
      <c r="H14" s="28" t="str">
        <f t="shared" si="2"/>
        <v>P207 Heart</v>
      </c>
      <c r="I14" s="28" t="str">
        <f t="shared" si="0"/>
        <v>Normal</v>
      </c>
      <c r="J14" s="28" t="str">
        <f t="shared" si="1"/>
        <v>Eligible</v>
      </c>
      <c r="K14" s="42">
        <f t="shared" si="3"/>
        <v>76000</v>
      </c>
    </row>
    <row r="15" spans="2:11" ht="15.6" x14ac:dyDescent="0.3">
      <c r="B15" s="25" t="s">
        <v>137</v>
      </c>
      <c r="C15" s="26" t="s">
        <v>138</v>
      </c>
      <c r="D15" s="27">
        <v>42</v>
      </c>
      <c r="E15" s="26" t="s">
        <v>129</v>
      </c>
      <c r="F15" s="27">
        <v>38000</v>
      </c>
      <c r="G15" s="26" t="s">
        <v>124</v>
      </c>
      <c r="H15" s="28" t="str">
        <f t="shared" si="2"/>
        <v>P208 BP</v>
      </c>
      <c r="I15" s="28" t="str">
        <f t="shared" si="0"/>
        <v>Normal</v>
      </c>
      <c r="J15" s="28" t="str">
        <f t="shared" si="1"/>
        <v>Not Eligible</v>
      </c>
      <c r="K15" s="29">
        <f t="shared" si="3"/>
        <v>38000</v>
      </c>
    </row>
    <row r="16" spans="2:11" ht="15.6" x14ac:dyDescent="0.3">
      <c r="B16" s="25" t="s">
        <v>139</v>
      </c>
      <c r="C16" s="26" t="s">
        <v>140</v>
      </c>
      <c r="D16" s="27">
        <v>56</v>
      </c>
      <c r="E16" s="26" t="s">
        <v>119</v>
      </c>
      <c r="F16" s="27">
        <v>72000</v>
      </c>
      <c r="G16" s="26" t="s">
        <v>120</v>
      </c>
      <c r="H16" s="28" t="str">
        <f t="shared" si="2"/>
        <v>P209 Diabetes</v>
      </c>
      <c r="I16" s="28" t="str">
        <f t="shared" si="0"/>
        <v>High Risk</v>
      </c>
      <c r="J16" s="28" t="str">
        <f t="shared" si="1"/>
        <v>Eligible</v>
      </c>
      <c r="K16" s="42">
        <f t="shared" si="3"/>
        <v>57600</v>
      </c>
    </row>
    <row r="17" spans="2:11" ht="16.2" thickBot="1" x14ac:dyDescent="0.35">
      <c r="B17" s="30" t="s">
        <v>141</v>
      </c>
      <c r="C17" s="31" t="s">
        <v>142</v>
      </c>
      <c r="D17" s="32">
        <v>29</v>
      </c>
      <c r="E17" s="31" t="s">
        <v>123</v>
      </c>
      <c r="F17" s="32">
        <v>10000</v>
      </c>
      <c r="G17" s="31" t="s">
        <v>124</v>
      </c>
      <c r="H17" s="33" t="str">
        <f t="shared" si="2"/>
        <v>P210 Flu</v>
      </c>
      <c r="I17" s="33" t="str">
        <f t="shared" si="0"/>
        <v>Normal</v>
      </c>
      <c r="J17" s="33" t="str">
        <f t="shared" si="1"/>
        <v>Not Eligible</v>
      </c>
      <c r="K17" s="34">
        <f t="shared" si="3"/>
        <v>10000</v>
      </c>
    </row>
    <row r="18" spans="2:11" ht="15" thickBot="1" x14ac:dyDescent="0.35"/>
    <row r="19" spans="2:11" ht="15" thickBot="1" x14ac:dyDescent="0.35">
      <c r="B19" s="41"/>
      <c r="C19" s="55" t="s">
        <v>148</v>
      </c>
      <c r="D19" s="47"/>
      <c r="E19" s="47"/>
      <c r="F19" s="48"/>
    </row>
    <row r="20" spans="2:11" ht="15" thickBot="1" x14ac:dyDescent="0.35">
      <c r="B20" s="38"/>
      <c r="C20" s="49"/>
      <c r="D20" s="50"/>
      <c r="E20" s="50"/>
      <c r="F20" s="51"/>
      <c r="G20" s="40"/>
    </row>
    <row r="21" spans="2:11" ht="15" thickBot="1" x14ac:dyDescent="0.35">
      <c r="C21" s="39"/>
      <c r="D21" s="39"/>
      <c r="E21" s="39"/>
      <c r="F21" s="39"/>
    </row>
    <row r="22" spans="2:11" ht="18" x14ac:dyDescent="0.35">
      <c r="C22" s="56" t="s">
        <v>147</v>
      </c>
      <c r="D22" s="57"/>
      <c r="E22" s="57"/>
      <c r="F22" s="57"/>
      <c r="G22" s="57"/>
      <c r="H22" s="35">
        <f>COUNT(D8:D17)</f>
        <v>10</v>
      </c>
    </row>
    <row r="23" spans="2:11" ht="18" x14ac:dyDescent="0.35">
      <c r="C23" s="58" t="s">
        <v>149</v>
      </c>
      <c r="D23" s="59"/>
      <c r="E23" s="59"/>
      <c r="F23" s="59"/>
      <c r="G23" s="59"/>
      <c r="H23" s="36">
        <f>COUNTA(F8:F17)</f>
        <v>10</v>
      </c>
    </row>
    <row r="24" spans="2:11" ht="18" x14ac:dyDescent="0.35">
      <c r="C24" s="58" t="s">
        <v>150</v>
      </c>
      <c r="D24" s="59"/>
      <c r="E24" s="59"/>
      <c r="F24" s="59"/>
      <c r="G24" s="59"/>
      <c r="H24" s="36">
        <f>AVERAGE(F8:F17)</f>
        <v>45700</v>
      </c>
    </row>
    <row r="25" spans="2:11" ht="18" x14ac:dyDescent="0.35">
      <c r="C25" s="58" t="s">
        <v>151</v>
      </c>
      <c r="D25" s="59"/>
      <c r="E25" s="59"/>
      <c r="F25" s="59"/>
      <c r="G25" s="59"/>
      <c r="H25" s="36">
        <f>AVERAGEIF(E8:E17,E8,F8:F17)</f>
        <v>61750</v>
      </c>
    </row>
    <row r="26" spans="2:11" ht="18" x14ac:dyDescent="0.35">
      <c r="C26" s="58" t="s">
        <v>152</v>
      </c>
      <c r="D26" s="59"/>
      <c r="E26" s="59"/>
      <c r="F26" s="59"/>
      <c r="G26" s="59"/>
      <c r="H26" s="36">
        <f>AVERAGEIFS(F8:F17,E8:E17,E8,D8:D17,"&gt;40")</f>
        <v>61750</v>
      </c>
    </row>
    <row r="27" spans="2:11" ht="18.600000000000001" thickBot="1" x14ac:dyDescent="0.4">
      <c r="C27" s="44" t="s">
        <v>153</v>
      </c>
      <c r="D27" s="45"/>
      <c r="E27" s="45"/>
      <c r="F27" s="45"/>
      <c r="G27" s="45"/>
      <c r="H27" s="37">
        <f>COUNTIF(G8:G17,G9)</f>
        <v>5</v>
      </c>
    </row>
    <row r="28" spans="2:11" ht="18" x14ac:dyDescent="0.35">
      <c r="F28" s="21"/>
    </row>
  </sheetData>
  <mergeCells count="8">
    <mergeCell ref="C27:G27"/>
    <mergeCell ref="C3:F5"/>
    <mergeCell ref="C19:F20"/>
    <mergeCell ref="C22:G22"/>
    <mergeCell ref="C23:G23"/>
    <mergeCell ref="C24:G24"/>
    <mergeCell ref="C25:G25"/>
    <mergeCell ref="C26:G26"/>
  </mergeCells>
  <conditionalFormatting sqref="F8:F17">
    <cfRule type="cellIs" dxfId="2" priority="3" operator="greaterThan">
      <formula>50000</formula>
    </cfRule>
  </conditionalFormatting>
  <conditionalFormatting sqref="I8:I17">
    <cfRule type="containsText" dxfId="1" priority="2" operator="containsText" text="High Risk">
      <formula>NOT(ISERROR(SEARCH("High Risk",I8)))</formula>
    </cfRule>
  </conditionalFormatting>
  <conditionalFormatting sqref="K8">
    <cfRule type="containsText" dxfId="0" priority="1" operator="containsText" text="Eligble">
      <formula>NOT(ISERROR(SEARCH("Eligble",K8)))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6908-192D-42FE-AADE-CBEA20A50BFA}">
  <dimension ref="C5:M25"/>
  <sheetViews>
    <sheetView tabSelected="1" workbookViewId="0">
      <selection activeCell="H6" sqref="H6"/>
    </sheetView>
  </sheetViews>
  <sheetFormatPr defaultRowHeight="14.4" x14ac:dyDescent="0.3"/>
  <cols>
    <col min="10" max="10" width="39.33203125" customWidth="1"/>
    <col min="12" max="12" width="15.109375" customWidth="1"/>
    <col min="13" max="13" width="19.44140625" customWidth="1"/>
  </cols>
  <sheetData>
    <row r="5" spans="3:13" x14ac:dyDescent="0.3">
      <c r="C5" s="75" t="s">
        <v>155</v>
      </c>
      <c r="D5" s="75" t="s">
        <v>112</v>
      </c>
      <c r="E5" s="75" t="s">
        <v>113</v>
      </c>
      <c r="F5" s="75" t="s">
        <v>114</v>
      </c>
      <c r="G5" s="75" t="s">
        <v>156</v>
      </c>
    </row>
    <row r="6" spans="3:13" x14ac:dyDescent="0.3">
      <c r="C6" s="43" t="s">
        <v>157</v>
      </c>
      <c r="D6" s="43" t="s">
        <v>177</v>
      </c>
      <c r="E6" s="43">
        <v>34</v>
      </c>
      <c r="F6" s="43" t="s">
        <v>123</v>
      </c>
      <c r="G6" s="43">
        <v>53811</v>
      </c>
    </row>
    <row r="7" spans="3:13" x14ac:dyDescent="0.3">
      <c r="C7" s="43" t="s">
        <v>158</v>
      </c>
      <c r="D7" s="43" t="s">
        <v>178</v>
      </c>
      <c r="E7" s="43">
        <v>59</v>
      </c>
      <c r="F7" s="43" t="s">
        <v>123</v>
      </c>
      <c r="G7" s="43">
        <v>76961</v>
      </c>
    </row>
    <row r="8" spans="3:13" x14ac:dyDescent="0.3">
      <c r="C8" s="43" t="s">
        <v>159</v>
      </c>
      <c r="D8" s="43" t="s">
        <v>179</v>
      </c>
      <c r="E8" s="43">
        <v>56</v>
      </c>
      <c r="F8" s="43" t="s">
        <v>129</v>
      </c>
      <c r="G8" s="43">
        <v>57544</v>
      </c>
      <c r="J8" s="61" t="s">
        <v>204</v>
      </c>
      <c r="K8" s="62"/>
      <c r="L8" s="63">
        <f>COUNT(G6:G25)</f>
        <v>20</v>
      </c>
      <c r="M8" s="64"/>
    </row>
    <row r="9" spans="3:13" x14ac:dyDescent="0.3">
      <c r="C9" s="43" t="s">
        <v>160</v>
      </c>
      <c r="D9" s="43" t="s">
        <v>180</v>
      </c>
      <c r="E9" s="43">
        <v>50</v>
      </c>
      <c r="F9" s="43" t="s">
        <v>119</v>
      </c>
      <c r="G9" s="43">
        <v>47348</v>
      </c>
      <c r="J9" s="65" t="s">
        <v>206</v>
      </c>
      <c r="K9" s="66"/>
      <c r="L9" s="67">
        <f>COUNTA(C6:C25)</f>
        <v>20</v>
      </c>
      <c r="M9" s="68"/>
    </row>
    <row r="10" spans="3:13" x14ac:dyDescent="0.3">
      <c r="C10" s="43" t="s">
        <v>161</v>
      </c>
      <c r="D10" s="43" t="s">
        <v>181</v>
      </c>
      <c r="E10" s="43">
        <v>52</v>
      </c>
      <c r="F10" s="43" t="s">
        <v>129</v>
      </c>
      <c r="G10" s="43">
        <v>9314</v>
      </c>
      <c r="J10" s="65" t="s">
        <v>207</v>
      </c>
      <c r="K10" s="66"/>
      <c r="L10" s="67">
        <f>COUNTBLANK(G6:G25)</f>
        <v>0</v>
      </c>
      <c r="M10" s="68"/>
    </row>
    <row r="11" spans="3:13" x14ac:dyDescent="0.3">
      <c r="C11" s="43" t="s">
        <v>162</v>
      </c>
      <c r="D11" s="43" t="s">
        <v>182</v>
      </c>
      <c r="E11" s="43">
        <v>56</v>
      </c>
      <c r="F11" s="43" t="s">
        <v>119</v>
      </c>
      <c r="G11" s="43">
        <v>23955</v>
      </c>
      <c r="J11" s="65" t="s">
        <v>203</v>
      </c>
      <c r="K11" s="66"/>
      <c r="L11" s="67">
        <f>COUNTIF(G6:G25,"&gt;50000")</f>
        <v>12</v>
      </c>
      <c r="M11" s="68"/>
    </row>
    <row r="12" spans="3:13" x14ac:dyDescent="0.3">
      <c r="C12" s="43" t="s">
        <v>163</v>
      </c>
      <c r="D12" s="43" t="s">
        <v>183</v>
      </c>
      <c r="E12" s="43">
        <v>34</v>
      </c>
      <c r="F12" s="43" t="s">
        <v>129</v>
      </c>
      <c r="G12" s="43">
        <v>50529</v>
      </c>
      <c r="J12" s="69" t="s">
        <v>198</v>
      </c>
      <c r="K12" s="70"/>
      <c r="L12" s="67">
        <f>COUNTIFS(F6:F25,"Diabetes",E6:E25,"&gt;40")</f>
        <v>4</v>
      </c>
      <c r="M12" s="68"/>
    </row>
    <row r="13" spans="3:13" x14ac:dyDescent="0.3">
      <c r="C13" s="43" t="s">
        <v>164</v>
      </c>
      <c r="D13" s="43" t="s">
        <v>0</v>
      </c>
      <c r="E13" s="43">
        <v>33</v>
      </c>
      <c r="F13" s="43" t="s">
        <v>123</v>
      </c>
      <c r="G13" s="43">
        <v>15508</v>
      </c>
      <c r="J13" s="65" t="s">
        <v>202</v>
      </c>
      <c r="K13" s="66"/>
      <c r="L13" s="67">
        <f>AVERAGE(G6:G25)</f>
        <v>50925.85</v>
      </c>
      <c r="M13" s="68"/>
    </row>
    <row r="14" spans="3:13" x14ac:dyDescent="0.3">
      <c r="C14" s="43" t="s">
        <v>165</v>
      </c>
      <c r="D14" s="43" t="s">
        <v>184</v>
      </c>
      <c r="E14" s="43">
        <v>27</v>
      </c>
      <c r="F14" s="43" t="s">
        <v>119</v>
      </c>
      <c r="G14" s="43">
        <v>71749</v>
      </c>
      <c r="J14" s="65" t="s">
        <v>209</v>
      </c>
      <c r="K14" s="66"/>
      <c r="L14" s="67">
        <f>MEDIAN(G6:G25)</f>
        <v>52559</v>
      </c>
      <c r="M14" s="68"/>
    </row>
    <row r="15" spans="3:13" x14ac:dyDescent="0.3">
      <c r="C15" s="43" t="s">
        <v>166</v>
      </c>
      <c r="D15" s="43" t="s">
        <v>185</v>
      </c>
      <c r="E15" s="43">
        <v>63</v>
      </c>
      <c r="F15" s="43" t="s">
        <v>119</v>
      </c>
      <c r="G15" s="43">
        <v>13743</v>
      </c>
      <c r="J15" s="65" t="s">
        <v>208</v>
      </c>
      <c r="K15" s="66"/>
      <c r="L15" s="67" t="str">
        <f>IFERROR(_xlfn.MODE.SNGL(G6:G25),"No Repeating Bill Amount")</f>
        <v>No Repeating Bill Amount</v>
      </c>
      <c r="M15" s="68"/>
    </row>
    <row r="16" spans="3:13" x14ac:dyDescent="0.3">
      <c r="C16" s="43" t="s">
        <v>167</v>
      </c>
      <c r="D16" s="43" t="s">
        <v>186</v>
      </c>
      <c r="E16" s="43">
        <v>20</v>
      </c>
      <c r="F16" s="43" t="s">
        <v>123</v>
      </c>
      <c r="G16" s="43">
        <v>88639</v>
      </c>
      <c r="J16" s="69" t="s">
        <v>196</v>
      </c>
      <c r="K16" s="70"/>
      <c r="L16" s="67">
        <f>MAX(G6:G25)</f>
        <v>88639</v>
      </c>
      <c r="M16" s="68"/>
    </row>
    <row r="17" spans="3:13" x14ac:dyDescent="0.3">
      <c r="C17" s="43" t="s">
        <v>168</v>
      </c>
      <c r="D17" s="43" t="s">
        <v>187</v>
      </c>
      <c r="E17" s="43">
        <v>42</v>
      </c>
      <c r="F17" s="43" t="s">
        <v>123</v>
      </c>
      <c r="G17" s="43">
        <v>12516</v>
      </c>
      <c r="J17" s="69" t="s">
        <v>197</v>
      </c>
      <c r="K17" s="70"/>
      <c r="L17" s="67">
        <f>MIN(G6:G25)</f>
        <v>9314</v>
      </c>
      <c r="M17" s="68"/>
    </row>
    <row r="18" spans="3:13" x14ac:dyDescent="0.3">
      <c r="C18" s="43" t="s">
        <v>169</v>
      </c>
      <c r="D18" s="43" t="s">
        <v>188</v>
      </c>
      <c r="E18" s="43">
        <v>58</v>
      </c>
      <c r="F18" s="43" t="s">
        <v>119</v>
      </c>
      <c r="G18" s="43">
        <v>54796</v>
      </c>
      <c r="J18" s="65" t="s">
        <v>199</v>
      </c>
      <c r="K18" s="66"/>
      <c r="L18" s="67">
        <f>LARGE(G6:G25,2)</f>
        <v>80438</v>
      </c>
      <c r="M18" s="68"/>
    </row>
    <row r="19" spans="3:13" x14ac:dyDescent="0.3">
      <c r="C19" s="43" t="s">
        <v>170</v>
      </c>
      <c r="D19" s="43" t="s">
        <v>189</v>
      </c>
      <c r="E19" s="43">
        <v>51</v>
      </c>
      <c r="F19" s="43" t="s">
        <v>129</v>
      </c>
      <c r="G19" s="43">
        <v>38481</v>
      </c>
      <c r="J19" s="69" t="s">
        <v>200</v>
      </c>
      <c r="K19" s="70"/>
      <c r="L19" s="67">
        <f>SMALL(G6:G25,2)</f>
        <v>12516</v>
      </c>
      <c r="M19" s="68"/>
    </row>
    <row r="20" spans="3:13" x14ac:dyDescent="0.3">
      <c r="C20" s="43" t="s">
        <v>171</v>
      </c>
      <c r="D20" s="43" t="s">
        <v>190</v>
      </c>
      <c r="E20" s="43">
        <v>42</v>
      </c>
      <c r="F20" s="43" t="s">
        <v>123</v>
      </c>
      <c r="G20" s="43">
        <v>77823</v>
      </c>
      <c r="J20" s="65" t="s">
        <v>201</v>
      </c>
      <c r="K20" s="66"/>
      <c r="L20" s="67">
        <f>_xlfn.QUARTILE.INC(G6:G25,1)</f>
        <v>34849.5</v>
      </c>
      <c r="M20" s="68"/>
    </row>
    <row r="21" spans="3:13" x14ac:dyDescent="0.3">
      <c r="C21" s="43" t="s">
        <v>172</v>
      </c>
      <c r="D21" s="43" t="s">
        <v>191</v>
      </c>
      <c r="E21" s="43">
        <v>70</v>
      </c>
      <c r="F21" s="43" t="s">
        <v>123</v>
      </c>
      <c r="G21" s="43">
        <v>51307</v>
      </c>
      <c r="J21" s="65" t="s">
        <v>210</v>
      </c>
      <c r="K21" s="66"/>
      <c r="L21" s="67">
        <f>_xlfn.QUARTILE.INC(G6:G25,3)</f>
        <v>73052</v>
      </c>
      <c r="M21" s="68"/>
    </row>
    <row r="22" spans="3:13" x14ac:dyDescent="0.3">
      <c r="C22" s="43" t="s">
        <v>173</v>
      </c>
      <c r="D22" s="43" t="s">
        <v>192</v>
      </c>
      <c r="E22" s="43">
        <v>38</v>
      </c>
      <c r="F22" s="43" t="s">
        <v>119</v>
      </c>
      <c r="G22" s="43">
        <v>80438</v>
      </c>
      <c r="J22" s="65" t="s">
        <v>211</v>
      </c>
      <c r="K22" s="66"/>
      <c r="L22" s="67">
        <f>_xlfn.STDEV.S(G6:G25)</f>
        <v>25079.398211690139</v>
      </c>
      <c r="M22" s="68"/>
    </row>
    <row r="23" spans="3:13" x14ac:dyDescent="0.3">
      <c r="C23" s="43" t="s">
        <v>174</v>
      </c>
      <c r="D23" s="43" t="s">
        <v>193</v>
      </c>
      <c r="E23" s="43">
        <v>31</v>
      </c>
      <c r="F23" s="43" t="s">
        <v>129</v>
      </c>
      <c r="G23" s="43">
        <v>49058</v>
      </c>
      <c r="J23" s="71" t="s">
        <v>205</v>
      </c>
      <c r="K23" s="72"/>
      <c r="L23" s="73">
        <f>MAX(G6:G25)-MIN(G6:G25)</f>
        <v>79325</v>
      </c>
      <c r="M23" s="74"/>
    </row>
    <row r="24" spans="3:13" x14ac:dyDescent="0.3">
      <c r="C24" s="43" t="s">
        <v>175</v>
      </c>
      <c r="D24" s="43" t="s">
        <v>194</v>
      </c>
      <c r="E24" s="43">
        <v>48</v>
      </c>
      <c r="F24" s="43" t="s">
        <v>123</v>
      </c>
      <c r="G24" s="43">
        <v>78894</v>
      </c>
      <c r="J24" s="60"/>
      <c r="K24" s="60"/>
    </row>
    <row r="25" spans="3:13" x14ac:dyDescent="0.3">
      <c r="C25" s="43" t="s">
        <v>176</v>
      </c>
      <c r="D25" s="43" t="s">
        <v>195</v>
      </c>
      <c r="E25" s="43">
        <v>69</v>
      </c>
      <c r="F25" s="43" t="s">
        <v>123</v>
      </c>
      <c r="G25" s="43">
        <v>66103</v>
      </c>
    </row>
  </sheetData>
  <mergeCells count="33">
    <mergeCell ref="L19:M19"/>
    <mergeCell ref="L20:M20"/>
    <mergeCell ref="L21:M21"/>
    <mergeCell ref="L22:M22"/>
    <mergeCell ref="L23:M23"/>
    <mergeCell ref="L13:M13"/>
    <mergeCell ref="L14:M14"/>
    <mergeCell ref="L15:M15"/>
    <mergeCell ref="L16:M16"/>
    <mergeCell ref="L17:M17"/>
    <mergeCell ref="L18:M18"/>
    <mergeCell ref="J20:K20"/>
    <mergeCell ref="J21:K21"/>
    <mergeCell ref="J22:K22"/>
    <mergeCell ref="J23:K23"/>
    <mergeCell ref="J24:K24"/>
    <mergeCell ref="L8:M8"/>
    <mergeCell ref="L9:M9"/>
    <mergeCell ref="L10:M10"/>
    <mergeCell ref="L11:M11"/>
    <mergeCell ref="L12:M12"/>
    <mergeCell ref="J14:K14"/>
    <mergeCell ref="J15:K15"/>
    <mergeCell ref="J16:K16"/>
    <mergeCell ref="J17:K17"/>
    <mergeCell ref="J18:K18"/>
    <mergeCell ref="J19:K19"/>
    <mergeCell ref="J8:K8"/>
    <mergeCell ref="J9:K9"/>
    <mergeCell ref="J10:K10"/>
    <mergeCell ref="J11:K11"/>
    <mergeCell ref="J12:K12"/>
    <mergeCell ref="J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 pandey</dc:creator>
  <cp:lastModifiedBy>kriti pandey</cp:lastModifiedBy>
  <dcterms:created xsi:type="dcterms:W3CDTF">2026-01-27T05:04:41Z</dcterms:created>
  <dcterms:modified xsi:type="dcterms:W3CDTF">2026-02-13T05:24:53Z</dcterms:modified>
</cp:coreProperties>
</file>